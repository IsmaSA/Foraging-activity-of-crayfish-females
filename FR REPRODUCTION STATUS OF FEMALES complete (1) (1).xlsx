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maSA\Downloads\"/>
    </mc:Choice>
  </mc:AlternateContent>
  <xr:revisionPtr revIDLastSave="0" documentId="13_ncr:1_{C7834429-C477-4604-9DEA-A8CD5F2DA3C1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Description" sheetId="3" r:id="rId1"/>
    <sheet name="Experiment 1" sheetId="1" r:id="rId2"/>
    <sheet name="Experiment 2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7" i="1" l="1"/>
  <c r="AG2" i="1"/>
  <c r="AG55" i="2"/>
  <c r="V55" i="2"/>
  <c r="K55" i="2"/>
  <c r="AG54" i="2"/>
  <c r="V54" i="2"/>
  <c r="K54" i="2"/>
  <c r="AG53" i="2"/>
  <c r="V53" i="2"/>
  <c r="K53" i="2"/>
  <c r="AG52" i="2"/>
  <c r="V52" i="2"/>
  <c r="K52" i="2"/>
  <c r="AG51" i="2"/>
  <c r="V51" i="2"/>
  <c r="K51" i="2"/>
  <c r="AG50" i="2"/>
  <c r="V50" i="2"/>
  <c r="K50" i="2"/>
  <c r="AG49" i="2"/>
  <c r="V49" i="2"/>
  <c r="K49" i="2"/>
  <c r="AG48" i="2"/>
  <c r="V48" i="2"/>
  <c r="K48" i="2"/>
  <c r="AG47" i="2"/>
  <c r="V47" i="2"/>
  <c r="K47" i="2"/>
  <c r="AG46" i="2"/>
  <c r="V46" i="2"/>
  <c r="K46" i="2"/>
  <c r="AG45" i="2"/>
  <c r="V45" i="2"/>
  <c r="K45" i="2"/>
  <c r="AG44" i="2"/>
  <c r="V44" i="2"/>
  <c r="K44" i="2"/>
  <c r="AG43" i="2"/>
  <c r="V43" i="2"/>
  <c r="K43" i="2"/>
  <c r="AG42" i="2"/>
  <c r="V42" i="2"/>
  <c r="K42" i="2"/>
  <c r="AG41" i="2"/>
  <c r="V41" i="2"/>
  <c r="K41" i="2"/>
  <c r="AG40" i="2"/>
  <c r="V40" i="2"/>
  <c r="K40" i="2"/>
  <c r="AG39" i="2"/>
  <c r="V39" i="2"/>
  <c r="K39" i="2"/>
  <c r="AG38" i="2"/>
  <c r="V38" i="2"/>
  <c r="K38" i="2"/>
  <c r="AG37" i="2"/>
  <c r="V37" i="2"/>
  <c r="K37" i="2"/>
  <c r="AG36" i="2"/>
  <c r="V36" i="2"/>
  <c r="K36" i="2"/>
  <c r="AG35" i="2"/>
  <c r="V35" i="2"/>
  <c r="K35" i="2"/>
  <c r="AG34" i="2"/>
  <c r="V34" i="2"/>
  <c r="K34" i="2"/>
  <c r="AG33" i="2"/>
  <c r="V33" i="2"/>
  <c r="K33" i="2"/>
  <c r="AG32" i="2"/>
  <c r="V32" i="2"/>
  <c r="K32" i="2"/>
  <c r="AG31" i="2"/>
  <c r="V31" i="2"/>
  <c r="K31" i="2"/>
  <c r="AG30" i="2"/>
  <c r="V30" i="2"/>
  <c r="K30" i="2"/>
  <c r="AG29" i="2"/>
  <c r="V29" i="2"/>
  <c r="K29" i="2"/>
  <c r="AG28" i="2"/>
  <c r="V28" i="2"/>
  <c r="K28" i="2"/>
  <c r="AG27" i="2"/>
  <c r="V27" i="2"/>
  <c r="K27" i="2"/>
  <c r="AG26" i="2"/>
  <c r="V26" i="2"/>
  <c r="K26" i="2"/>
  <c r="AG25" i="2"/>
  <c r="V25" i="2"/>
  <c r="K25" i="2"/>
  <c r="AG24" i="2"/>
  <c r="V24" i="2"/>
  <c r="K24" i="2"/>
  <c r="AG23" i="2"/>
  <c r="V23" i="2"/>
  <c r="K23" i="2"/>
  <c r="AG22" i="2"/>
  <c r="V22" i="2"/>
  <c r="K22" i="2"/>
  <c r="AG21" i="2"/>
  <c r="V21" i="2"/>
  <c r="K21" i="2"/>
  <c r="AG20" i="2"/>
  <c r="V20" i="2"/>
  <c r="K20" i="2"/>
  <c r="AG19" i="2"/>
  <c r="V19" i="2"/>
  <c r="K19" i="2"/>
  <c r="AG18" i="2"/>
  <c r="V18" i="2"/>
  <c r="K18" i="2"/>
  <c r="AG17" i="2"/>
  <c r="V17" i="2"/>
  <c r="K17" i="2"/>
  <c r="AG16" i="2"/>
  <c r="V16" i="2"/>
  <c r="K16" i="2"/>
  <c r="AG15" i="2"/>
  <c r="V15" i="2"/>
  <c r="K15" i="2"/>
  <c r="AG14" i="2"/>
  <c r="V14" i="2"/>
  <c r="K14" i="2"/>
  <c r="AG13" i="2"/>
  <c r="V13" i="2"/>
  <c r="K13" i="2"/>
  <c r="AG12" i="2"/>
  <c r="V12" i="2"/>
  <c r="K12" i="2"/>
  <c r="AG11" i="2"/>
  <c r="V11" i="2"/>
  <c r="K11" i="2"/>
  <c r="AG10" i="2"/>
  <c r="V10" i="2"/>
  <c r="K10" i="2"/>
  <c r="AG9" i="2"/>
  <c r="V9" i="2"/>
  <c r="K9" i="2"/>
  <c r="AG8" i="2"/>
  <c r="V8" i="2"/>
  <c r="K8" i="2"/>
  <c r="AG7" i="2"/>
  <c r="V7" i="2"/>
  <c r="K7" i="2"/>
  <c r="AG6" i="2"/>
  <c r="V6" i="2"/>
  <c r="K6" i="2"/>
  <c r="AG5" i="2"/>
  <c r="V5" i="2"/>
  <c r="K5" i="2"/>
  <c r="AG4" i="2"/>
  <c r="V4" i="2"/>
  <c r="K4" i="2"/>
  <c r="AG3" i="2"/>
  <c r="V3" i="2"/>
  <c r="K3" i="2"/>
  <c r="AG2" i="2"/>
  <c r="V2" i="2"/>
  <c r="K2" i="2"/>
  <c r="AG73" i="1"/>
  <c r="V73" i="1"/>
  <c r="K73" i="1"/>
  <c r="AG72" i="1"/>
  <c r="V72" i="1"/>
  <c r="K72" i="1"/>
  <c r="AG71" i="1"/>
  <c r="V71" i="1"/>
  <c r="K71" i="1"/>
  <c r="AG70" i="1"/>
  <c r="V70" i="1"/>
  <c r="K70" i="1"/>
  <c r="AG69" i="1"/>
  <c r="V69" i="1"/>
  <c r="K69" i="1"/>
  <c r="AG68" i="1"/>
  <c r="V68" i="1"/>
  <c r="K68" i="1"/>
  <c r="AG67" i="1"/>
  <c r="V67" i="1"/>
  <c r="K67" i="1"/>
  <c r="AG66" i="1"/>
  <c r="V66" i="1"/>
  <c r="K66" i="1"/>
  <c r="AG65" i="1"/>
  <c r="V65" i="1"/>
  <c r="K65" i="1"/>
  <c r="AG64" i="1"/>
  <c r="V64" i="1"/>
  <c r="K64" i="1"/>
  <c r="AG63" i="1"/>
  <c r="V63" i="1"/>
  <c r="K63" i="1"/>
  <c r="AG62" i="1"/>
  <c r="V62" i="1"/>
  <c r="K62" i="1"/>
  <c r="AG61" i="1"/>
  <c r="V61" i="1"/>
  <c r="K61" i="1"/>
  <c r="AG60" i="1"/>
  <c r="V60" i="1"/>
  <c r="K60" i="1"/>
  <c r="AG59" i="1"/>
  <c r="V59" i="1"/>
  <c r="K59" i="1"/>
  <c r="AG58" i="1"/>
  <c r="V58" i="1"/>
  <c r="K58" i="1"/>
  <c r="AG57" i="1"/>
  <c r="V57" i="1"/>
  <c r="K57" i="1"/>
  <c r="AG56" i="1"/>
  <c r="V56" i="1"/>
  <c r="K56" i="1"/>
  <c r="AG55" i="1"/>
  <c r="V55" i="1"/>
  <c r="K55" i="1"/>
  <c r="AG54" i="1"/>
  <c r="V54" i="1"/>
  <c r="K54" i="1"/>
  <c r="AG53" i="1"/>
  <c r="V53" i="1"/>
  <c r="K53" i="1"/>
  <c r="AG52" i="1"/>
  <c r="V52" i="1"/>
  <c r="K52" i="1"/>
  <c r="AG51" i="1"/>
  <c r="V51" i="1"/>
  <c r="K51" i="1"/>
  <c r="AG50" i="1"/>
  <c r="V50" i="1"/>
  <c r="K50" i="1"/>
  <c r="AG49" i="1"/>
  <c r="V49" i="1"/>
  <c r="K49" i="1"/>
  <c r="AG48" i="1"/>
  <c r="V48" i="1"/>
  <c r="K48" i="1"/>
  <c r="AG47" i="1"/>
  <c r="V47" i="1"/>
  <c r="K47" i="1"/>
  <c r="AG46" i="1"/>
  <c r="V46" i="1"/>
  <c r="K46" i="1"/>
  <c r="AG45" i="1"/>
  <c r="V45" i="1"/>
  <c r="K45" i="1"/>
  <c r="AG44" i="1"/>
  <c r="V44" i="1"/>
  <c r="K44" i="1"/>
  <c r="AG43" i="1"/>
  <c r="V43" i="1"/>
  <c r="K43" i="1"/>
  <c r="AG42" i="1"/>
  <c r="V42" i="1"/>
  <c r="K42" i="1"/>
  <c r="AG41" i="1"/>
  <c r="V41" i="1"/>
  <c r="K41" i="1"/>
  <c r="AG40" i="1"/>
  <c r="V40" i="1"/>
  <c r="K40" i="1"/>
  <c r="AG39" i="1"/>
  <c r="V39" i="1"/>
  <c r="K39" i="1"/>
  <c r="AG38" i="1"/>
  <c r="V38" i="1"/>
  <c r="K38" i="1"/>
  <c r="AG37" i="1"/>
  <c r="V37" i="1"/>
  <c r="K37" i="1"/>
  <c r="AG36" i="1"/>
  <c r="V36" i="1"/>
  <c r="K36" i="1"/>
  <c r="AG35" i="1"/>
  <c r="V35" i="1"/>
  <c r="K35" i="1"/>
  <c r="AG34" i="1"/>
  <c r="V34" i="1"/>
  <c r="K34" i="1"/>
  <c r="AG33" i="1"/>
  <c r="V33" i="1"/>
  <c r="K33" i="1"/>
  <c r="AG32" i="1"/>
  <c r="V32" i="1"/>
  <c r="K32" i="1"/>
  <c r="AG31" i="1"/>
  <c r="V31" i="1"/>
  <c r="K31" i="1"/>
  <c r="AG30" i="1"/>
  <c r="V30" i="1"/>
  <c r="K30" i="1"/>
  <c r="AG29" i="1"/>
  <c r="V29" i="1"/>
  <c r="K29" i="1"/>
  <c r="AG28" i="1"/>
  <c r="V28" i="1"/>
  <c r="K28" i="1"/>
  <c r="AG27" i="1"/>
  <c r="V27" i="1"/>
  <c r="K27" i="1"/>
  <c r="AG26" i="1"/>
  <c r="V26" i="1"/>
  <c r="K26" i="1"/>
  <c r="AG25" i="1"/>
  <c r="V25" i="1"/>
  <c r="K25" i="1"/>
  <c r="AG24" i="1"/>
  <c r="V24" i="1"/>
  <c r="K24" i="1"/>
  <c r="AG23" i="1"/>
  <c r="V23" i="1"/>
  <c r="K23" i="1"/>
  <c r="AG22" i="1"/>
  <c r="V22" i="1"/>
  <c r="K22" i="1"/>
  <c r="AG21" i="1"/>
  <c r="V21" i="1"/>
  <c r="K21" i="1"/>
  <c r="AG20" i="1"/>
  <c r="V20" i="1"/>
  <c r="K20" i="1"/>
  <c r="AG19" i="1"/>
  <c r="V19" i="1"/>
  <c r="K19" i="1"/>
  <c r="AG18" i="1"/>
  <c r="V18" i="1"/>
  <c r="K18" i="1"/>
  <c r="AG17" i="1"/>
  <c r="V17" i="1"/>
  <c r="AG16" i="1"/>
  <c r="V16" i="1"/>
  <c r="K16" i="1"/>
  <c r="AG15" i="1"/>
  <c r="V15" i="1"/>
  <c r="K15" i="1"/>
  <c r="AG14" i="1"/>
  <c r="V14" i="1"/>
  <c r="K14" i="1"/>
  <c r="AG13" i="1"/>
  <c r="V13" i="1"/>
  <c r="K13" i="1"/>
  <c r="AG12" i="1"/>
  <c r="V12" i="1"/>
  <c r="K12" i="1"/>
  <c r="AG11" i="1"/>
  <c r="V11" i="1"/>
  <c r="K11" i="1"/>
  <c r="AG10" i="1"/>
  <c r="V10" i="1"/>
  <c r="K10" i="1"/>
  <c r="AG9" i="1"/>
  <c r="V9" i="1"/>
  <c r="K9" i="1"/>
  <c r="AG8" i="1"/>
  <c r="V8" i="1"/>
  <c r="K8" i="1"/>
  <c r="AG7" i="1"/>
  <c r="V7" i="1"/>
  <c r="K7" i="1"/>
  <c r="AG6" i="1"/>
  <c r="V6" i="1"/>
  <c r="K6" i="1"/>
  <c r="AG5" i="1"/>
  <c r="V5" i="1"/>
  <c r="K5" i="1"/>
  <c r="AG4" i="1"/>
  <c r="V4" i="1"/>
  <c r="K4" i="1"/>
  <c r="AG3" i="1"/>
  <c r="V3" i="1"/>
  <c r="K3" i="1"/>
  <c r="V2" i="1"/>
  <c r="K2" i="1"/>
</calcChain>
</file>

<file path=xl/sharedStrings.xml><?xml version="1.0" encoding="utf-8"?>
<sst xmlns="http://schemas.openxmlformats.org/spreadsheetml/2006/main" count="431" uniqueCount="26">
  <si>
    <t>Code</t>
  </si>
  <si>
    <t>CL</t>
  </si>
  <si>
    <t>Weight</t>
  </si>
  <si>
    <t>Alive</t>
  </si>
  <si>
    <t>Partial</t>
  </si>
  <si>
    <t>N</t>
  </si>
  <si>
    <t>G</t>
  </si>
  <si>
    <t>E</t>
  </si>
  <si>
    <t>1, 0.75, 0.5, 0.25, 0</t>
  </si>
  <si>
    <t>Column</t>
  </si>
  <si>
    <t>Description</t>
  </si>
  <si>
    <t>The total quantity of prey provided</t>
  </si>
  <si>
    <t>The absolute count of alive prey</t>
  </si>
  <si>
    <t>Sum of partial prey consumed</t>
  </si>
  <si>
    <t xml:space="preserve">Note: In Experiment 2, codes are accompanied by "+" shelter presence and "-" shelter absence. </t>
  </si>
  <si>
    <t>Prey</t>
  </si>
  <si>
    <t>G+</t>
  </si>
  <si>
    <t>E+</t>
  </si>
  <si>
    <t>N+</t>
  </si>
  <si>
    <t>G-</t>
  </si>
  <si>
    <t>E-</t>
  </si>
  <si>
    <t>N-</t>
  </si>
  <si>
    <t>Unique alphanumeric identifier for the specimen (N = non-reproductive; G = Glair gland.bearing; E = Egg-carrying)</t>
  </si>
  <si>
    <t>Wet weight of crayfish</t>
  </si>
  <si>
    <t>Carapace length of crayfish</t>
  </si>
  <si>
    <t>Fractional scale variables (75%, 50%, 25%, 0%) representing the proportional prey consumed. 0 % mean the prey is dead, but without a signal of consumption or 100 % number of total consumed prey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</si>
</sst>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238"/>
    </font>
    <font>
      <sz val="11"/>
      <color theme="0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2" fontId="0" fillId="0" borderId="10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1" xfId="0" applyFont="1" applyBorder="1"/>
    <xf numFmtId="0" fontId="7" fillId="0" borderId="22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19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6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3" xfId="0" applyFont="1" applyBorder="1"/>
    <xf numFmtId="0" fontId="8" fillId="0" borderId="17" xfId="0" applyFont="1" applyBorder="1"/>
    <xf numFmtId="0" fontId="8" fillId="0" borderId="4" xfId="0" applyFont="1" applyBorder="1"/>
    <xf numFmtId="0" fontId="8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0BDB-9AB8-48F5-B2B1-9AF8C5B2005B}">
  <dimension ref="A1:C11"/>
  <sheetViews>
    <sheetView workbookViewId="0">
      <selection activeCell="H8" sqref="H8"/>
    </sheetView>
  </sheetViews>
  <sheetFormatPr defaultRowHeight="18.75" x14ac:dyDescent="0.3"/>
  <cols>
    <col min="1" max="1" width="41.42578125" style="1" customWidth="1"/>
    <col min="2" max="2" width="40.28515625" style="1" customWidth="1"/>
    <col min="3" max="3" width="36.42578125" customWidth="1"/>
    <col min="8" max="8" width="13.7109375" customWidth="1"/>
  </cols>
  <sheetData>
    <row r="1" spans="1:3" x14ac:dyDescent="0.3">
      <c r="A1" s="2" t="s">
        <v>9</v>
      </c>
      <c r="B1" s="2" t="s">
        <v>10</v>
      </c>
      <c r="C1" s="3"/>
    </row>
    <row r="2" spans="1:3" x14ac:dyDescent="0.3">
      <c r="A2" s="1" t="s">
        <v>0</v>
      </c>
      <c r="B2" s="1" t="s">
        <v>22</v>
      </c>
    </row>
    <row r="3" spans="1:3" x14ac:dyDescent="0.3">
      <c r="A3" s="1" t="s">
        <v>15</v>
      </c>
      <c r="B3" s="1" t="s">
        <v>11</v>
      </c>
    </row>
    <row r="4" spans="1:3" x14ac:dyDescent="0.3">
      <c r="A4" s="1" t="s">
        <v>1</v>
      </c>
      <c r="B4" s="1" t="s">
        <v>24</v>
      </c>
    </row>
    <row r="5" spans="1:3" x14ac:dyDescent="0.3">
      <c r="A5" s="1" t="s">
        <v>2</v>
      </c>
      <c r="B5" s="1" t="s">
        <v>23</v>
      </c>
    </row>
    <row r="6" spans="1:3" x14ac:dyDescent="0.3">
      <c r="A6" s="1" t="s">
        <v>3</v>
      </c>
      <c r="B6" s="1" t="s">
        <v>12</v>
      </c>
    </row>
    <row r="7" spans="1:3" x14ac:dyDescent="0.3">
      <c r="A7" s="1" t="s">
        <v>8</v>
      </c>
      <c r="B7" s="1" t="s">
        <v>25</v>
      </c>
    </row>
    <row r="8" spans="1:3" x14ac:dyDescent="0.3">
      <c r="A8" s="1" t="s">
        <v>4</v>
      </c>
      <c r="B8" s="1" t="s">
        <v>13</v>
      </c>
    </row>
    <row r="11" spans="1:3" x14ac:dyDescent="0.3">
      <c r="A1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3"/>
  <sheetViews>
    <sheetView topLeftCell="A55" zoomScale="80" zoomScaleNormal="80" workbookViewId="0">
      <selection activeCell="E74" sqref="E74:AG575"/>
    </sheetView>
  </sheetViews>
  <sheetFormatPr defaultColWidth="8.7109375" defaultRowHeight="15" x14ac:dyDescent="0.25"/>
  <cols>
    <col min="1" max="1" width="6.28515625" style="4" bestFit="1" customWidth="1"/>
    <col min="2" max="2" width="5.7109375" style="4" bestFit="1" customWidth="1"/>
    <col min="3" max="3" width="5.5703125" style="4" bestFit="1" customWidth="1"/>
    <col min="4" max="4" width="8.42578125" style="4" bestFit="1" customWidth="1"/>
    <col min="5" max="5" width="6" style="4" bestFit="1" customWidth="1"/>
    <col min="6" max="6" width="6.5703125" style="4" bestFit="1" customWidth="1"/>
    <col min="7" max="9" width="5.28515625" style="4" bestFit="1" customWidth="1"/>
    <col min="10" max="10" width="4.140625" style="4" bestFit="1" customWidth="1"/>
    <col min="11" max="11" width="7.42578125" style="4" bestFit="1" customWidth="1"/>
    <col min="12" max="12" width="6.28515625" style="28" bestFit="1" customWidth="1"/>
    <col min="13" max="13" width="5.7109375" style="4" bestFit="1" customWidth="1"/>
    <col min="14" max="14" width="6" style="4" bestFit="1" customWidth="1"/>
    <col min="15" max="15" width="8.42578125" style="4" bestFit="1" customWidth="1"/>
    <col min="16" max="16" width="6" style="4" bestFit="1" customWidth="1"/>
    <col min="17" max="17" width="6.5703125" style="4" bestFit="1" customWidth="1"/>
    <col min="18" max="20" width="5.28515625" style="4" bestFit="1" customWidth="1"/>
    <col min="21" max="21" width="4.140625" style="4" bestFit="1" customWidth="1"/>
    <col min="22" max="22" width="7.42578125" style="29" bestFit="1" customWidth="1"/>
    <col min="23" max="23" width="6.28515625" style="4" bestFit="1" customWidth="1"/>
    <col min="24" max="24" width="5.7109375" style="4" bestFit="1" customWidth="1"/>
    <col min="25" max="25" width="6" style="4" bestFit="1" customWidth="1"/>
    <col min="26" max="26" width="8.42578125" style="4" bestFit="1" customWidth="1"/>
    <col min="27" max="27" width="6" style="4" bestFit="1" customWidth="1"/>
    <col min="28" max="28" width="6.5703125" style="4" bestFit="1" customWidth="1"/>
    <col min="29" max="31" width="5.28515625" style="4" bestFit="1" customWidth="1"/>
    <col min="32" max="32" width="4.140625" style="4" bestFit="1" customWidth="1"/>
    <col min="33" max="33" width="7.42578125" style="4" bestFit="1" customWidth="1"/>
    <col min="34" max="16384" width="8.7109375" style="4"/>
  </cols>
  <sheetData>
    <row r="1" spans="1:33" s="23" customFormat="1" ht="16.5" thickBot="1" x14ac:dyDescent="0.3">
      <c r="A1" s="32" t="s">
        <v>0</v>
      </c>
      <c r="B1" s="22" t="s">
        <v>15</v>
      </c>
      <c r="C1" s="22" t="s">
        <v>1</v>
      </c>
      <c r="D1" s="22" t="s">
        <v>2</v>
      </c>
      <c r="E1" s="22" t="s">
        <v>3</v>
      </c>
      <c r="F1" s="33">
        <v>1</v>
      </c>
      <c r="G1" s="33">
        <v>0.75</v>
      </c>
      <c r="H1" s="33">
        <v>0.5</v>
      </c>
      <c r="I1" s="33">
        <v>0.25</v>
      </c>
      <c r="J1" s="33">
        <v>0</v>
      </c>
      <c r="K1" s="34" t="s">
        <v>4</v>
      </c>
      <c r="L1" s="32" t="s">
        <v>0</v>
      </c>
      <c r="M1" s="22" t="s">
        <v>15</v>
      </c>
      <c r="N1" s="22" t="s">
        <v>1</v>
      </c>
      <c r="O1" s="22" t="s">
        <v>2</v>
      </c>
      <c r="P1" s="22" t="s">
        <v>3</v>
      </c>
      <c r="Q1" s="33">
        <v>1</v>
      </c>
      <c r="R1" s="33">
        <v>0.75</v>
      </c>
      <c r="S1" s="33">
        <v>0.5</v>
      </c>
      <c r="T1" s="33">
        <v>0.25</v>
      </c>
      <c r="U1" s="33">
        <v>0</v>
      </c>
      <c r="V1" s="35" t="s">
        <v>4</v>
      </c>
      <c r="W1" s="21" t="s">
        <v>0</v>
      </c>
      <c r="X1" s="22" t="s">
        <v>15</v>
      </c>
      <c r="Y1" s="22" t="s">
        <v>1</v>
      </c>
      <c r="Z1" s="22" t="s">
        <v>2</v>
      </c>
      <c r="AA1" s="22" t="s">
        <v>3</v>
      </c>
      <c r="AB1" s="33">
        <v>1</v>
      </c>
      <c r="AC1" s="33">
        <v>0.75</v>
      </c>
      <c r="AD1" s="33">
        <v>0.5</v>
      </c>
      <c r="AE1" s="33">
        <v>0.25</v>
      </c>
      <c r="AF1" s="33">
        <v>0</v>
      </c>
      <c r="AG1" s="35" t="s">
        <v>4</v>
      </c>
    </row>
    <row r="2" spans="1:33" x14ac:dyDescent="0.25">
      <c r="A2" s="5" t="s">
        <v>5</v>
      </c>
      <c r="B2" s="6">
        <v>1</v>
      </c>
      <c r="C2" s="6">
        <v>16.3</v>
      </c>
      <c r="D2" s="6">
        <v>1.05</v>
      </c>
      <c r="E2" s="6">
        <v>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30">
        <f t="shared" ref="K2:K33" si="0">SUM(G2:J2)</f>
        <v>0</v>
      </c>
      <c r="L2" s="5" t="s">
        <v>6</v>
      </c>
      <c r="M2" s="6">
        <v>1</v>
      </c>
      <c r="N2" s="6">
        <v>17.899999999999999</v>
      </c>
      <c r="O2" s="6">
        <v>1.27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8">
        <f t="shared" ref="V2:V33" si="1">SUM(R2:U2)</f>
        <v>0</v>
      </c>
      <c r="W2" s="7" t="s">
        <v>7</v>
      </c>
      <c r="X2" s="6">
        <v>1</v>
      </c>
      <c r="Y2" s="31">
        <v>16.2</v>
      </c>
      <c r="Z2" s="31">
        <v>1.25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8">
        <f>SUM(AC2:AF2)</f>
        <v>0</v>
      </c>
    </row>
    <row r="3" spans="1:33" x14ac:dyDescent="0.25">
      <c r="A3" s="9" t="s">
        <v>5</v>
      </c>
      <c r="B3" s="10">
        <v>1</v>
      </c>
      <c r="C3" s="10">
        <v>17.100000000000001</v>
      </c>
      <c r="D3" s="10">
        <v>1.1499999999999999</v>
      </c>
      <c r="E3" s="10">
        <v>0</v>
      </c>
      <c r="F3" s="10">
        <v>1</v>
      </c>
      <c r="G3" s="10">
        <v>0</v>
      </c>
      <c r="H3" s="10">
        <v>0</v>
      </c>
      <c r="I3" s="10">
        <v>0</v>
      </c>
      <c r="J3" s="10">
        <v>0</v>
      </c>
      <c r="K3" s="26">
        <f t="shared" si="0"/>
        <v>0</v>
      </c>
      <c r="L3" s="9" t="s">
        <v>6</v>
      </c>
      <c r="M3" s="10">
        <v>1</v>
      </c>
      <c r="N3" s="13">
        <v>18.100000000000001</v>
      </c>
      <c r="O3" s="13">
        <v>1.51</v>
      </c>
      <c r="P3" s="10">
        <v>0</v>
      </c>
      <c r="Q3" s="10">
        <v>1</v>
      </c>
      <c r="R3" s="10">
        <v>0</v>
      </c>
      <c r="S3" s="10">
        <v>0</v>
      </c>
      <c r="T3" s="10">
        <v>0</v>
      </c>
      <c r="U3" s="10">
        <v>0</v>
      </c>
      <c r="V3" s="12">
        <f t="shared" si="1"/>
        <v>0</v>
      </c>
      <c r="W3" s="11" t="s">
        <v>7</v>
      </c>
      <c r="X3" s="10">
        <v>1</v>
      </c>
      <c r="Y3" s="10">
        <v>19.600000000000001</v>
      </c>
      <c r="Z3" s="10">
        <v>1.7</v>
      </c>
      <c r="AA3" s="10">
        <v>0</v>
      </c>
      <c r="AB3" s="10">
        <v>1</v>
      </c>
      <c r="AC3" s="10">
        <v>0</v>
      </c>
      <c r="AD3" s="10">
        <v>0</v>
      </c>
      <c r="AE3" s="10">
        <v>0</v>
      </c>
      <c r="AF3" s="10">
        <v>0</v>
      </c>
      <c r="AG3" s="12">
        <f t="shared" ref="AG3:AG33" si="2">SUM(AC3:AF3)</f>
        <v>0</v>
      </c>
    </row>
    <row r="4" spans="1:33" x14ac:dyDescent="0.25">
      <c r="A4" s="9" t="s">
        <v>5</v>
      </c>
      <c r="B4" s="10">
        <v>1</v>
      </c>
      <c r="C4" s="10">
        <v>18</v>
      </c>
      <c r="D4" s="14">
        <v>45292</v>
      </c>
      <c r="E4" s="10">
        <v>0</v>
      </c>
      <c r="F4" s="10">
        <v>1</v>
      </c>
      <c r="G4" s="10">
        <v>0</v>
      </c>
      <c r="H4" s="10">
        <v>0</v>
      </c>
      <c r="I4" s="10">
        <v>0</v>
      </c>
      <c r="J4" s="10">
        <v>0</v>
      </c>
      <c r="K4" s="26">
        <f t="shared" si="0"/>
        <v>0</v>
      </c>
      <c r="L4" s="9" t="s">
        <v>6</v>
      </c>
      <c r="M4" s="10">
        <v>1</v>
      </c>
      <c r="N4" s="10">
        <v>16.600000000000001</v>
      </c>
      <c r="O4" s="10">
        <v>1.42</v>
      </c>
      <c r="P4" s="10">
        <v>1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2">
        <f t="shared" si="1"/>
        <v>0</v>
      </c>
      <c r="W4" s="11" t="s">
        <v>7</v>
      </c>
      <c r="X4" s="10">
        <v>1</v>
      </c>
      <c r="Y4" s="10">
        <v>16.7</v>
      </c>
      <c r="Z4" s="10">
        <v>1.22</v>
      </c>
      <c r="AA4" s="10">
        <v>1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2">
        <f t="shared" si="2"/>
        <v>0</v>
      </c>
    </row>
    <row r="5" spans="1:33" x14ac:dyDescent="0.25">
      <c r="A5" s="9" t="s">
        <v>5</v>
      </c>
      <c r="B5" s="10">
        <v>1</v>
      </c>
      <c r="C5" s="10">
        <v>17.5</v>
      </c>
      <c r="D5" s="10">
        <v>1.23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26">
        <f t="shared" si="0"/>
        <v>0</v>
      </c>
      <c r="L5" s="9" t="s">
        <v>6</v>
      </c>
      <c r="M5" s="10">
        <v>1</v>
      </c>
      <c r="N5" s="10">
        <v>17</v>
      </c>
      <c r="O5" s="10">
        <v>1.1499999999999999</v>
      </c>
      <c r="P5" s="10">
        <v>0</v>
      </c>
      <c r="Q5" s="10">
        <v>1</v>
      </c>
      <c r="R5" s="10">
        <v>0</v>
      </c>
      <c r="S5" s="10">
        <v>0</v>
      </c>
      <c r="T5" s="10">
        <v>0</v>
      </c>
      <c r="U5" s="10">
        <v>0</v>
      </c>
      <c r="V5" s="12">
        <f t="shared" si="1"/>
        <v>0</v>
      </c>
      <c r="W5" s="11" t="s">
        <v>7</v>
      </c>
      <c r="X5" s="10">
        <v>1</v>
      </c>
      <c r="Y5" s="10">
        <v>16.5</v>
      </c>
      <c r="Z5" s="10">
        <v>1.1299999999999999</v>
      </c>
      <c r="AA5" s="10">
        <v>1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2">
        <f t="shared" si="2"/>
        <v>0</v>
      </c>
    </row>
    <row r="6" spans="1:33" x14ac:dyDescent="0.25">
      <c r="A6" s="9" t="s">
        <v>5</v>
      </c>
      <c r="B6" s="10">
        <v>1</v>
      </c>
      <c r="C6" s="10">
        <v>18.2</v>
      </c>
      <c r="D6" s="10">
        <v>1.45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0</v>
      </c>
      <c r="K6" s="26">
        <f t="shared" si="0"/>
        <v>0</v>
      </c>
      <c r="L6" s="9" t="s">
        <v>6</v>
      </c>
      <c r="M6" s="10">
        <v>1</v>
      </c>
      <c r="N6" s="10">
        <v>18</v>
      </c>
      <c r="O6" s="10">
        <v>1.54</v>
      </c>
      <c r="P6" s="10">
        <v>0</v>
      </c>
      <c r="Q6" s="10">
        <v>1</v>
      </c>
      <c r="R6" s="10">
        <v>0</v>
      </c>
      <c r="S6" s="10">
        <v>0</v>
      </c>
      <c r="T6" s="10">
        <v>0</v>
      </c>
      <c r="U6" s="10">
        <v>0</v>
      </c>
      <c r="V6" s="12">
        <f t="shared" si="1"/>
        <v>0</v>
      </c>
      <c r="W6" s="11" t="s">
        <v>7</v>
      </c>
      <c r="X6" s="10">
        <v>1</v>
      </c>
      <c r="Y6" s="10">
        <v>17</v>
      </c>
      <c r="Z6" s="10">
        <v>1.33</v>
      </c>
      <c r="AA6" s="10">
        <v>0</v>
      </c>
      <c r="AB6" s="10">
        <v>1</v>
      </c>
      <c r="AC6" s="10">
        <v>0</v>
      </c>
      <c r="AD6" s="10">
        <v>0</v>
      </c>
      <c r="AE6" s="10">
        <v>0</v>
      </c>
      <c r="AF6" s="10">
        <v>0</v>
      </c>
      <c r="AG6" s="12">
        <f t="shared" si="2"/>
        <v>0</v>
      </c>
    </row>
    <row r="7" spans="1:33" x14ac:dyDescent="0.25">
      <c r="A7" s="9" t="s">
        <v>5</v>
      </c>
      <c r="B7" s="10">
        <v>1</v>
      </c>
      <c r="C7" s="10">
        <v>19.8</v>
      </c>
      <c r="D7" s="10">
        <v>1.63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0</v>
      </c>
      <c r="K7" s="26">
        <f t="shared" si="0"/>
        <v>0</v>
      </c>
      <c r="L7" s="9" t="s">
        <v>6</v>
      </c>
      <c r="M7" s="10">
        <v>1</v>
      </c>
      <c r="N7" s="10">
        <v>17.899999999999999</v>
      </c>
      <c r="O7" s="10">
        <v>1.44</v>
      </c>
      <c r="P7" s="10">
        <v>0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2">
        <f t="shared" si="1"/>
        <v>0</v>
      </c>
      <c r="W7" s="11" t="s">
        <v>7</v>
      </c>
      <c r="X7" s="10">
        <v>1</v>
      </c>
      <c r="Y7" s="10">
        <v>16</v>
      </c>
      <c r="Z7" s="10">
        <v>1.02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2">
        <f t="shared" si="2"/>
        <v>0</v>
      </c>
    </row>
    <row r="8" spans="1:33" x14ac:dyDescent="0.25">
      <c r="A8" s="9" t="s">
        <v>5</v>
      </c>
      <c r="B8" s="10">
        <v>1</v>
      </c>
      <c r="C8" s="10">
        <v>20.2</v>
      </c>
      <c r="D8" s="10">
        <v>1.64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26">
        <f t="shared" si="0"/>
        <v>0</v>
      </c>
      <c r="L8" s="9" t="s">
        <v>6</v>
      </c>
      <c r="M8" s="10">
        <v>1</v>
      </c>
      <c r="N8" s="10">
        <v>19.7</v>
      </c>
      <c r="O8" s="10">
        <v>1.61</v>
      </c>
      <c r="P8" s="10">
        <v>0</v>
      </c>
      <c r="Q8" s="10">
        <v>1</v>
      </c>
      <c r="R8" s="10">
        <v>0</v>
      </c>
      <c r="S8" s="10">
        <v>0</v>
      </c>
      <c r="T8" s="10">
        <v>0</v>
      </c>
      <c r="U8" s="10">
        <v>0</v>
      </c>
      <c r="V8" s="12">
        <f t="shared" si="1"/>
        <v>0</v>
      </c>
      <c r="W8" s="11" t="s">
        <v>7</v>
      </c>
      <c r="X8" s="10">
        <v>1</v>
      </c>
      <c r="Y8" s="10">
        <v>17</v>
      </c>
      <c r="Z8" s="10">
        <v>1.18</v>
      </c>
      <c r="AA8" s="10">
        <v>0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2">
        <f t="shared" si="2"/>
        <v>0</v>
      </c>
    </row>
    <row r="9" spans="1:33" x14ac:dyDescent="0.25">
      <c r="A9" s="9" t="s">
        <v>5</v>
      </c>
      <c r="B9" s="10">
        <v>1</v>
      </c>
      <c r="C9" s="10">
        <v>18</v>
      </c>
      <c r="D9" s="10">
        <v>1.44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26">
        <f t="shared" si="0"/>
        <v>0</v>
      </c>
      <c r="L9" s="9" t="s">
        <v>6</v>
      </c>
      <c r="M9" s="10">
        <v>1</v>
      </c>
      <c r="N9" s="10">
        <v>17.2</v>
      </c>
      <c r="O9" s="10">
        <v>1.28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2">
        <f t="shared" si="1"/>
        <v>0</v>
      </c>
      <c r="W9" s="11" t="s">
        <v>7</v>
      </c>
      <c r="X9" s="10">
        <v>1</v>
      </c>
      <c r="Y9" s="10">
        <v>17.600000000000001</v>
      </c>
      <c r="Z9" s="10">
        <v>1.39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2">
        <f t="shared" si="2"/>
        <v>0</v>
      </c>
    </row>
    <row r="10" spans="1:33" x14ac:dyDescent="0.25">
      <c r="A10" s="9" t="s">
        <v>5</v>
      </c>
      <c r="B10" s="10">
        <v>1</v>
      </c>
      <c r="C10" s="10">
        <v>17.5</v>
      </c>
      <c r="D10" s="10">
        <v>1.44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26">
        <f t="shared" si="0"/>
        <v>0</v>
      </c>
      <c r="L10" s="9" t="s">
        <v>6</v>
      </c>
      <c r="M10" s="10">
        <v>1</v>
      </c>
      <c r="N10" s="10">
        <v>16</v>
      </c>
      <c r="O10" s="10">
        <v>0.95</v>
      </c>
      <c r="P10" s="10">
        <v>0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2">
        <f t="shared" si="1"/>
        <v>0</v>
      </c>
      <c r="W10" s="11" t="s">
        <v>7</v>
      </c>
      <c r="X10" s="10">
        <v>1</v>
      </c>
      <c r="Y10" s="10">
        <v>18.2</v>
      </c>
      <c r="Z10" s="10">
        <v>1.55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2">
        <f t="shared" si="2"/>
        <v>0</v>
      </c>
    </row>
    <row r="11" spans="1:33" x14ac:dyDescent="0.25">
      <c r="A11" s="9" t="s">
        <v>5</v>
      </c>
      <c r="B11" s="10">
        <v>1</v>
      </c>
      <c r="C11" s="10">
        <v>18</v>
      </c>
      <c r="D11" s="10">
        <v>1.44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26">
        <f t="shared" si="0"/>
        <v>0</v>
      </c>
      <c r="L11" s="9" t="s">
        <v>6</v>
      </c>
      <c r="M11" s="10">
        <v>1</v>
      </c>
      <c r="N11" s="10">
        <v>20.5</v>
      </c>
      <c r="O11" s="10">
        <v>1.71</v>
      </c>
      <c r="P11" s="10">
        <v>0</v>
      </c>
      <c r="Q11" s="10">
        <v>1</v>
      </c>
      <c r="R11" s="10">
        <v>0</v>
      </c>
      <c r="S11" s="10">
        <v>0</v>
      </c>
      <c r="T11" s="10">
        <v>0</v>
      </c>
      <c r="U11" s="10">
        <v>0</v>
      </c>
      <c r="V11" s="12">
        <f t="shared" si="1"/>
        <v>0</v>
      </c>
      <c r="W11" s="11" t="s">
        <v>7</v>
      </c>
      <c r="X11" s="10">
        <v>1</v>
      </c>
      <c r="Y11" s="10">
        <v>18.5</v>
      </c>
      <c r="Z11" s="10">
        <v>1.64</v>
      </c>
      <c r="AA11" s="10">
        <v>1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2">
        <f t="shared" si="2"/>
        <v>0</v>
      </c>
    </row>
    <row r="12" spans="1:33" x14ac:dyDescent="0.25">
      <c r="A12" s="9" t="s">
        <v>5</v>
      </c>
      <c r="B12" s="10">
        <v>1</v>
      </c>
      <c r="C12" s="10">
        <v>16</v>
      </c>
      <c r="D12" s="10">
        <v>1.04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26">
        <f t="shared" si="0"/>
        <v>0</v>
      </c>
      <c r="L12" s="9" t="s">
        <v>6</v>
      </c>
      <c r="M12" s="10">
        <v>1</v>
      </c>
      <c r="N12" s="10">
        <v>20.5</v>
      </c>
      <c r="O12" s="10">
        <v>1.74</v>
      </c>
      <c r="P12" s="10">
        <v>0</v>
      </c>
      <c r="Q12" s="10">
        <v>1</v>
      </c>
      <c r="R12" s="10">
        <v>0</v>
      </c>
      <c r="S12" s="10">
        <v>0</v>
      </c>
      <c r="T12" s="10">
        <v>0</v>
      </c>
      <c r="U12" s="10">
        <v>0</v>
      </c>
      <c r="V12" s="12">
        <f t="shared" si="1"/>
        <v>0</v>
      </c>
      <c r="W12" s="11" t="s">
        <v>7</v>
      </c>
      <c r="X12" s="10">
        <v>1</v>
      </c>
      <c r="Y12" s="10">
        <v>16.399999999999999</v>
      </c>
      <c r="Z12" s="10">
        <v>0.99</v>
      </c>
      <c r="AA12" s="10">
        <v>1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2">
        <f t="shared" si="2"/>
        <v>0</v>
      </c>
    </row>
    <row r="13" spans="1:33" x14ac:dyDescent="0.25">
      <c r="A13" s="9" t="s">
        <v>5</v>
      </c>
      <c r="B13" s="10">
        <v>1</v>
      </c>
      <c r="C13" s="10">
        <v>16.399999999999999</v>
      </c>
      <c r="D13" s="10">
        <v>1.04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26">
        <f t="shared" si="0"/>
        <v>0</v>
      </c>
      <c r="L13" s="9" t="s">
        <v>6</v>
      </c>
      <c r="M13" s="10">
        <v>1</v>
      </c>
      <c r="N13" s="10">
        <v>18.5</v>
      </c>
      <c r="O13" s="10">
        <v>1.6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2">
        <f t="shared" si="1"/>
        <v>0</v>
      </c>
      <c r="W13" s="11" t="s">
        <v>7</v>
      </c>
      <c r="X13" s="10">
        <v>1</v>
      </c>
      <c r="Y13" s="10">
        <v>17</v>
      </c>
      <c r="Z13" s="10">
        <v>1.35</v>
      </c>
      <c r="AA13" s="10">
        <v>1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2">
        <f t="shared" si="2"/>
        <v>0</v>
      </c>
    </row>
    <row r="14" spans="1:33" x14ac:dyDescent="0.25">
      <c r="A14" s="9" t="s">
        <v>5</v>
      </c>
      <c r="B14" s="10">
        <v>3</v>
      </c>
      <c r="C14" s="20">
        <v>17.600000000000001</v>
      </c>
      <c r="D14" s="20">
        <v>1.25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0</v>
      </c>
      <c r="K14" s="26">
        <f t="shared" si="0"/>
        <v>0</v>
      </c>
      <c r="L14" s="9" t="s">
        <v>6</v>
      </c>
      <c r="M14" s="10">
        <v>3</v>
      </c>
      <c r="N14" s="10">
        <v>17.600000000000001</v>
      </c>
      <c r="O14" s="10">
        <v>1.28</v>
      </c>
      <c r="P14" s="10">
        <v>0</v>
      </c>
      <c r="Q14" s="10">
        <v>2</v>
      </c>
      <c r="R14" s="10">
        <v>0</v>
      </c>
      <c r="S14" s="10">
        <v>0</v>
      </c>
      <c r="T14" s="10">
        <v>1</v>
      </c>
      <c r="U14" s="10">
        <v>0</v>
      </c>
      <c r="V14" s="12">
        <f t="shared" si="1"/>
        <v>1</v>
      </c>
      <c r="W14" s="11" t="s">
        <v>7</v>
      </c>
      <c r="X14" s="10">
        <v>3</v>
      </c>
      <c r="Y14" s="10">
        <v>17.100000000000001</v>
      </c>
      <c r="Z14" s="10">
        <v>1.22</v>
      </c>
      <c r="AA14" s="10">
        <v>1</v>
      </c>
      <c r="AB14" s="10">
        <v>2</v>
      </c>
      <c r="AC14" s="10">
        <v>0</v>
      </c>
      <c r="AD14" s="10">
        <v>0</v>
      </c>
      <c r="AE14" s="10">
        <v>0</v>
      </c>
      <c r="AF14" s="10">
        <v>0</v>
      </c>
      <c r="AG14" s="12">
        <f t="shared" si="2"/>
        <v>0</v>
      </c>
    </row>
    <row r="15" spans="1:33" x14ac:dyDescent="0.25">
      <c r="A15" s="9" t="s">
        <v>5</v>
      </c>
      <c r="B15" s="10">
        <v>3</v>
      </c>
      <c r="C15" s="10">
        <v>19.8</v>
      </c>
      <c r="D15" s="10">
        <v>1.61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0</v>
      </c>
      <c r="K15" s="26">
        <f t="shared" si="0"/>
        <v>0</v>
      </c>
      <c r="L15" s="9" t="s">
        <v>6</v>
      </c>
      <c r="M15" s="10">
        <v>3</v>
      </c>
      <c r="N15" s="10">
        <v>16.100000000000001</v>
      </c>
      <c r="O15" s="10">
        <v>1</v>
      </c>
      <c r="P15" s="10">
        <v>0</v>
      </c>
      <c r="Q15" s="10">
        <v>3</v>
      </c>
      <c r="R15" s="10">
        <v>0</v>
      </c>
      <c r="S15" s="10">
        <v>0</v>
      </c>
      <c r="T15" s="10">
        <v>0</v>
      </c>
      <c r="U15" s="10">
        <v>0</v>
      </c>
      <c r="V15" s="12">
        <f t="shared" si="1"/>
        <v>0</v>
      </c>
      <c r="W15" s="11" t="s">
        <v>7</v>
      </c>
      <c r="X15" s="10">
        <v>3</v>
      </c>
      <c r="Y15" s="10">
        <v>17.2</v>
      </c>
      <c r="Z15" s="10">
        <v>1.68</v>
      </c>
      <c r="AA15" s="10">
        <v>3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2">
        <f t="shared" si="2"/>
        <v>0</v>
      </c>
    </row>
    <row r="16" spans="1:33" x14ac:dyDescent="0.25">
      <c r="A16" s="9" t="s">
        <v>5</v>
      </c>
      <c r="B16" s="10">
        <v>3</v>
      </c>
      <c r="C16" s="10">
        <v>17.5</v>
      </c>
      <c r="D16" s="10">
        <v>1.21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26">
        <f t="shared" si="0"/>
        <v>0</v>
      </c>
      <c r="L16" s="9" t="s">
        <v>6</v>
      </c>
      <c r="M16" s="10">
        <v>3</v>
      </c>
      <c r="N16" s="10">
        <v>19.899999999999999</v>
      </c>
      <c r="O16" s="10">
        <v>1.72</v>
      </c>
      <c r="P16" s="10">
        <v>1</v>
      </c>
      <c r="Q16" s="10">
        <v>2</v>
      </c>
      <c r="R16" s="10">
        <v>0</v>
      </c>
      <c r="S16" s="10">
        <v>0</v>
      </c>
      <c r="T16" s="10">
        <v>0</v>
      </c>
      <c r="U16" s="10">
        <v>0</v>
      </c>
      <c r="V16" s="12">
        <f t="shared" si="1"/>
        <v>0</v>
      </c>
      <c r="W16" s="11" t="s">
        <v>7</v>
      </c>
      <c r="X16" s="10">
        <v>3</v>
      </c>
      <c r="Y16" s="10">
        <v>17</v>
      </c>
      <c r="Z16" s="10">
        <v>1.25</v>
      </c>
      <c r="AA16" s="10">
        <v>3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2">
        <f t="shared" si="2"/>
        <v>0</v>
      </c>
    </row>
    <row r="17" spans="1:33" x14ac:dyDescent="0.25">
      <c r="A17" s="9" t="s">
        <v>5</v>
      </c>
      <c r="B17" s="10">
        <v>3</v>
      </c>
      <c r="C17" s="13">
        <v>18.399999999999999</v>
      </c>
      <c r="D17" s="13">
        <v>1.38</v>
      </c>
      <c r="E17" s="13">
        <v>1</v>
      </c>
      <c r="F17" s="13">
        <v>2</v>
      </c>
      <c r="G17" s="19">
        <v>0</v>
      </c>
      <c r="H17" s="19">
        <v>0</v>
      </c>
      <c r="I17" s="19">
        <v>0</v>
      </c>
      <c r="J17" s="19">
        <v>0</v>
      </c>
      <c r="K17" s="26">
        <f>SUM(G17:J17)</f>
        <v>0</v>
      </c>
      <c r="L17" s="9" t="s">
        <v>6</v>
      </c>
      <c r="M17" s="10">
        <v>3</v>
      </c>
      <c r="N17" s="10">
        <v>20.399999999999999</v>
      </c>
      <c r="O17" s="10">
        <v>1.84</v>
      </c>
      <c r="P17" s="10">
        <v>1</v>
      </c>
      <c r="Q17" s="10">
        <v>2</v>
      </c>
      <c r="R17" s="10">
        <v>0</v>
      </c>
      <c r="S17" s="10">
        <v>0</v>
      </c>
      <c r="T17" s="10">
        <v>0</v>
      </c>
      <c r="U17" s="10">
        <v>0</v>
      </c>
      <c r="V17" s="12">
        <f t="shared" si="1"/>
        <v>0</v>
      </c>
      <c r="W17" s="11" t="s">
        <v>7</v>
      </c>
      <c r="X17" s="10">
        <v>3</v>
      </c>
      <c r="Y17" s="10">
        <v>17.899999999999999</v>
      </c>
      <c r="Z17" s="10">
        <v>1.54</v>
      </c>
      <c r="AA17" s="10">
        <v>3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2">
        <f t="shared" si="2"/>
        <v>0</v>
      </c>
    </row>
    <row r="18" spans="1:33" x14ac:dyDescent="0.25">
      <c r="A18" s="9" t="s">
        <v>5</v>
      </c>
      <c r="B18" s="10">
        <v>3</v>
      </c>
      <c r="C18" s="10">
        <v>17</v>
      </c>
      <c r="D18" s="10">
        <v>1.1499999999999999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0</v>
      </c>
      <c r="K18" s="26">
        <f t="shared" si="0"/>
        <v>0</v>
      </c>
      <c r="L18" s="9" t="s">
        <v>6</v>
      </c>
      <c r="M18" s="10">
        <v>3</v>
      </c>
      <c r="N18" s="10">
        <v>16.899999999999999</v>
      </c>
      <c r="O18" s="10">
        <v>1.27</v>
      </c>
      <c r="P18" s="10">
        <v>0</v>
      </c>
      <c r="Q18" s="10">
        <v>3</v>
      </c>
      <c r="R18" s="10">
        <v>0</v>
      </c>
      <c r="S18" s="10">
        <v>0</v>
      </c>
      <c r="T18" s="10">
        <v>0</v>
      </c>
      <c r="U18" s="10">
        <v>0</v>
      </c>
      <c r="V18" s="12">
        <f t="shared" si="1"/>
        <v>0</v>
      </c>
      <c r="W18" s="11" t="s">
        <v>7</v>
      </c>
      <c r="X18" s="10">
        <v>3</v>
      </c>
      <c r="Y18" s="10">
        <v>16.600000000000001</v>
      </c>
      <c r="Z18" s="10">
        <v>1.25</v>
      </c>
      <c r="AA18" s="10">
        <v>1</v>
      </c>
      <c r="AB18" s="10">
        <v>2</v>
      </c>
      <c r="AC18" s="10">
        <v>0</v>
      </c>
      <c r="AD18" s="10">
        <v>0</v>
      </c>
      <c r="AE18" s="10">
        <v>0</v>
      </c>
      <c r="AF18" s="10">
        <v>0</v>
      </c>
      <c r="AG18" s="12">
        <f t="shared" si="2"/>
        <v>0</v>
      </c>
    </row>
    <row r="19" spans="1:33" x14ac:dyDescent="0.25">
      <c r="A19" s="9" t="s">
        <v>5</v>
      </c>
      <c r="B19" s="10">
        <v>3</v>
      </c>
      <c r="C19" s="10">
        <v>17.100000000000001</v>
      </c>
      <c r="D19" s="10">
        <v>1.19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0</v>
      </c>
      <c r="K19" s="26">
        <f t="shared" si="0"/>
        <v>0</v>
      </c>
      <c r="L19" s="9" t="s">
        <v>6</v>
      </c>
      <c r="M19" s="10">
        <v>3</v>
      </c>
      <c r="N19" s="10">
        <v>16.600000000000001</v>
      </c>
      <c r="O19" s="10">
        <v>1.1599999999999999</v>
      </c>
      <c r="P19" s="10">
        <v>1</v>
      </c>
      <c r="Q19" s="10">
        <v>1</v>
      </c>
      <c r="R19" s="10">
        <v>0</v>
      </c>
      <c r="S19" s="10">
        <v>0</v>
      </c>
      <c r="T19" s="10">
        <v>0</v>
      </c>
      <c r="U19" s="10">
        <v>1</v>
      </c>
      <c r="V19" s="12">
        <f t="shared" si="1"/>
        <v>1</v>
      </c>
      <c r="W19" s="11" t="s">
        <v>7</v>
      </c>
      <c r="X19" s="10">
        <v>3</v>
      </c>
      <c r="Y19" s="10">
        <v>20.5</v>
      </c>
      <c r="Z19" s="10">
        <v>2</v>
      </c>
      <c r="AA19" s="10">
        <v>3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2">
        <f t="shared" si="2"/>
        <v>0</v>
      </c>
    </row>
    <row r="20" spans="1:33" x14ac:dyDescent="0.25">
      <c r="A20" s="9" t="s">
        <v>5</v>
      </c>
      <c r="B20" s="10">
        <v>3</v>
      </c>
      <c r="C20" s="10">
        <v>17.5</v>
      </c>
      <c r="D20" s="10">
        <v>1.2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0</v>
      </c>
      <c r="K20" s="26">
        <f t="shared" si="0"/>
        <v>0</v>
      </c>
      <c r="L20" s="9" t="s">
        <v>6</v>
      </c>
      <c r="M20" s="10">
        <v>3</v>
      </c>
      <c r="N20" s="10">
        <v>17.399999999999999</v>
      </c>
      <c r="O20" s="10">
        <v>1.25</v>
      </c>
      <c r="P20" s="10">
        <v>0</v>
      </c>
      <c r="Q20" s="10">
        <v>3</v>
      </c>
      <c r="R20" s="10">
        <v>0</v>
      </c>
      <c r="S20" s="10">
        <v>0</v>
      </c>
      <c r="T20" s="10">
        <v>0</v>
      </c>
      <c r="U20" s="10">
        <v>0</v>
      </c>
      <c r="V20" s="12">
        <f t="shared" si="1"/>
        <v>0</v>
      </c>
      <c r="W20" s="11" t="s">
        <v>7</v>
      </c>
      <c r="X20" s="10">
        <v>3</v>
      </c>
      <c r="Y20" s="10">
        <v>17.5</v>
      </c>
      <c r="Z20" s="10">
        <v>1.48</v>
      </c>
      <c r="AA20" s="10">
        <v>3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2">
        <f t="shared" si="2"/>
        <v>0</v>
      </c>
    </row>
    <row r="21" spans="1:33" x14ac:dyDescent="0.25">
      <c r="A21" s="9" t="s">
        <v>5</v>
      </c>
      <c r="B21" s="10">
        <v>3</v>
      </c>
      <c r="C21" s="10">
        <v>20</v>
      </c>
      <c r="D21" s="10">
        <v>1.7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0</v>
      </c>
      <c r="K21" s="26">
        <f t="shared" si="0"/>
        <v>0</v>
      </c>
      <c r="L21" s="9" t="s">
        <v>6</v>
      </c>
      <c r="M21" s="10">
        <v>3</v>
      </c>
      <c r="N21" s="10">
        <v>17.899999999999999</v>
      </c>
      <c r="O21" s="10">
        <v>1.42</v>
      </c>
      <c r="P21" s="10">
        <v>1</v>
      </c>
      <c r="Q21" s="10">
        <v>2</v>
      </c>
      <c r="R21" s="10">
        <v>0</v>
      </c>
      <c r="S21" s="10">
        <v>0</v>
      </c>
      <c r="T21" s="10">
        <v>0</v>
      </c>
      <c r="U21" s="10">
        <v>0</v>
      </c>
      <c r="V21" s="12">
        <f t="shared" si="1"/>
        <v>0</v>
      </c>
      <c r="W21" s="11" t="s">
        <v>7</v>
      </c>
      <c r="X21" s="10">
        <v>3</v>
      </c>
      <c r="Y21" s="10">
        <v>17.100000000000001</v>
      </c>
      <c r="Z21" s="10">
        <v>1.35</v>
      </c>
      <c r="AA21" s="10">
        <v>2</v>
      </c>
      <c r="AB21" s="10">
        <v>1</v>
      </c>
      <c r="AC21" s="10">
        <v>0</v>
      </c>
      <c r="AD21" s="10">
        <v>0</v>
      </c>
      <c r="AE21" s="10">
        <v>0</v>
      </c>
      <c r="AF21" s="10">
        <v>0</v>
      </c>
      <c r="AG21" s="12">
        <f t="shared" si="2"/>
        <v>0</v>
      </c>
    </row>
    <row r="22" spans="1:33" x14ac:dyDescent="0.25">
      <c r="A22" s="9" t="s">
        <v>5</v>
      </c>
      <c r="B22" s="10">
        <v>3</v>
      </c>
      <c r="C22" s="10">
        <v>19.899999999999999</v>
      </c>
      <c r="D22" s="10">
        <v>1.54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0</v>
      </c>
      <c r="K22" s="26">
        <f t="shared" si="0"/>
        <v>0</v>
      </c>
      <c r="L22" s="9" t="s">
        <v>6</v>
      </c>
      <c r="M22" s="10">
        <v>3</v>
      </c>
      <c r="N22" s="10">
        <v>17.600000000000001</v>
      </c>
      <c r="O22" s="10">
        <v>1.23</v>
      </c>
      <c r="P22" s="10">
        <v>0</v>
      </c>
      <c r="Q22" s="10">
        <v>3</v>
      </c>
      <c r="R22" s="10">
        <v>0</v>
      </c>
      <c r="S22" s="10">
        <v>0</v>
      </c>
      <c r="T22" s="10">
        <v>0</v>
      </c>
      <c r="U22" s="10">
        <v>0</v>
      </c>
      <c r="V22" s="12">
        <f t="shared" si="1"/>
        <v>0</v>
      </c>
      <c r="W22" s="11" t="s">
        <v>7</v>
      </c>
      <c r="X22" s="10">
        <v>3</v>
      </c>
      <c r="Y22" s="10">
        <v>17</v>
      </c>
      <c r="Z22" s="10">
        <v>1.29</v>
      </c>
      <c r="AA22" s="10">
        <v>3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2">
        <f t="shared" si="2"/>
        <v>0</v>
      </c>
    </row>
    <row r="23" spans="1:33" x14ac:dyDescent="0.25">
      <c r="A23" s="9" t="s">
        <v>5</v>
      </c>
      <c r="B23" s="10">
        <v>3</v>
      </c>
      <c r="C23" s="10">
        <v>18.3</v>
      </c>
      <c r="D23" s="10">
        <v>1.47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0</v>
      </c>
      <c r="K23" s="26">
        <f t="shared" si="0"/>
        <v>0</v>
      </c>
      <c r="L23" s="9" t="s">
        <v>6</v>
      </c>
      <c r="M23" s="10">
        <v>3</v>
      </c>
      <c r="N23" s="10">
        <v>19.8</v>
      </c>
      <c r="O23" s="10">
        <v>1.59</v>
      </c>
      <c r="P23" s="10">
        <v>0</v>
      </c>
      <c r="Q23" s="10">
        <v>3</v>
      </c>
      <c r="R23" s="10">
        <v>0</v>
      </c>
      <c r="S23" s="10">
        <v>0</v>
      </c>
      <c r="T23" s="10">
        <v>0</v>
      </c>
      <c r="U23" s="10">
        <v>0</v>
      </c>
      <c r="V23" s="12">
        <f t="shared" si="1"/>
        <v>0</v>
      </c>
      <c r="W23" s="11" t="s">
        <v>7</v>
      </c>
      <c r="X23" s="10">
        <v>3</v>
      </c>
      <c r="Y23" s="10">
        <v>17.3</v>
      </c>
      <c r="Z23" s="10">
        <v>1.24</v>
      </c>
      <c r="AA23" s="10">
        <v>1</v>
      </c>
      <c r="AB23" s="10">
        <v>2</v>
      </c>
      <c r="AC23" s="10">
        <v>0</v>
      </c>
      <c r="AD23" s="10">
        <v>0</v>
      </c>
      <c r="AE23" s="10">
        <v>0</v>
      </c>
      <c r="AF23" s="10">
        <v>0</v>
      </c>
      <c r="AG23" s="12">
        <f t="shared" si="2"/>
        <v>0</v>
      </c>
    </row>
    <row r="24" spans="1:33" x14ac:dyDescent="0.25">
      <c r="A24" s="9" t="s">
        <v>5</v>
      </c>
      <c r="B24" s="10">
        <v>3</v>
      </c>
      <c r="C24" s="10">
        <v>18</v>
      </c>
      <c r="D24" s="10">
        <v>1.4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0</v>
      </c>
      <c r="K24" s="26">
        <f t="shared" si="0"/>
        <v>0</v>
      </c>
      <c r="L24" s="9" t="s">
        <v>6</v>
      </c>
      <c r="M24" s="10">
        <v>3</v>
      </c>
      <c r="N24" s="10">
        <v>16.7</v>
      </c>
      <c r="O24" s="10">
        <v>1.17</v>
      </c>
      <c r="P24" s="10">
        <v>3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2">
        <f t="shared" si="1"/>
        <v>0</v>
      </c>
      <c r="W24" s="11" t="s">
        <v>7</v>
      </c>
      <c r="X24" s="10">
        <v>3</v>
      </c>
      <c r="Y24" s="10">
        <v>20.6</v>
      </c>
      <c r="Z24" s="10">
        <v>2.25</v>
      </c>
      <c r="AA24" s="10">
        <v>3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2">
        <f t="shared" si="2"/>
        <v>0</v>
      </c>
    </row>
    <row r="25" spans="1:33" x14ac:dyDescent="0.25">
      <c r="A25" s="9" t="s">
        <v>5</v>
      </c>
      <c r="B25" s="10">
        <v>3</v>
      </c>
      <c r="C25" s="10">
        <v>18.2</v>
      </c>
      <c r="D25" s="10">
        <v>1.4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0</v>
      </c>
      <c r="K25" s="26">
        <f t="shared" si="0"/>
        <v>0</v>
      </c>
      <c r="L25" s="9" t="s">
        <v>6</v>
      </c>
      <c r="M25" s="10">
        <v>3</v>
      </c>
      <c r="N25" s="10">
        <v>16</v>
      </c>
      <c r="O25" s="10">
        <v>0.96</v>
      </c>
      <c r="P25" s="10">
        <v>1</v>
      </c>
      <c r="Q25" s="10">
        <v>2</v>
      </c>
      <c r="R25" s="10">
        <v>0</v>
      </c>
      <c r="S25" s="10">
        <v>0</v>
      </c>
      <c r="T25" s="10">
        <v>0</v>
      </c>
      <c r="U25" s="10">
        <v>0</v>
      </c>
      <c r="V25" s="12">
        <f t="shared" si="1"/>
        <v>0</v>
      </c>
      <c r="W25" s="11" t="s">
        <v>7</v>
      </c>
      <c r="X25" s="10">
        <v>3</v>
      </c>
      <c r="Y25" s="10">
        <v>16.5</v>
      </c>
      <c r="Z25" s="10">
        <v>1.24</v>
      </c>
      <c r="AA25" s="10">
        <v>3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2">
        <f t="shared" si="2"/>
        <v>0</v>
      </c>
    </row>
    <row r="26" spans="1:33" x14ac:dyDescent="0.25">
      <c r="A26" s="9" t="s">
        <v>5</v>
      </c>
      <c r="B26" s="10">
        <v>6</v>
      </c>
      <c r="C26" s="10">
        <v>18.600000000000001</v>
      </c>
      <c r="D26" s="10">
        <v>1.41</v>
      </c>
      <c r="E26" s="10">
        <v>1</v>
      </c>
      <c r="F26" s="10">
        <v>5</v>
      </c>
      <c r="G26" s="10">
        <v>0</v>
      </c>
      <c r="H26" s="10">
        <v>0</v>
      </c>
      <c r="I26" s="10">
        <v>0</v>
      </c>
      <c r="J26" s="10">
        <v>0</v>
      </c>
      <c r="K26" s="26">
        <f t="shared" si="0"/>
        <v>0</v>
      </c>
      <c r="L26" s="9" t="s">
        <v>6</v>
      </c>
      <c r="M26" s="10">
        <v>6</v>
      </c>
      <c r="N26" s="10">
        <v>20.9</v>
      </c>
      <c r="O26" s="10">
        <v>2.3199999999999998</v>
      </c>
      <c r="P26" s="10">
        <v>1</v>
      </c>
      <c r="Q26" s="10">
        <v>5</v>
      </c>
      <c r="R26" s="10">
        <v>0</v>
      </c>
      <c r="S26" s="10">
        <v>0</v>
      </c>
      <c r="T26" s="10">
        <v>0</v>
      </c>
      <c r="U26" s="10">
        <v>0</v>
      </c>
      <c r="V26" s="12">
        <f t="shared" si="1"/>
        <v>0</v>
      </c>
      <c r="W26" s="11" t="s">
        <v>7</v>
      </c>
      <c r="X26" s="10">
        <v>6</v>
      </c>
      <c r="Y26" s="10">
        <v>17.100000000000001</v>
      </c>
      <c r="Z26" s="10">
        <v>1.34</v>
      </c>
      <c r="AA26" s="10">
        <v>6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2">
        <f t="shared" si="2"/>
        <v>0</v>
      </c>
    </row>
    <row r="27" spans="1:33" x14ac:dyDescent="0.25">
      <c r="A27" s="9" t="s">
        <v>5</v>
      </c>
      <c r="B27" s="10">
        <v>6</v>
      </c>
      <c r="C27" s="10">
        <v>19.5</v>
      </c>
      <c r="D27" s="10">
        <v>1.68</v>
      </c>
      <c r="E27" s="10">
        <v>3</v>
      </c>
      <c r="F27" s="10">
        <v>3</v>
      </c>
      <c r="G27" s="10">
        <v>0</v>
      </c>
      <c r="H27" s="10">
        <v>0</v>
      </c>
      <c r="I27" s="10">
        <v>0</v>
      </c>
      <c r="J27" s="10">
        <v>0</v>
      </c>
      <c r="K27" s="26">
        <f t="shared" si="0"/>
        <v>0</v>
      </c>
      <c r="L27" s="9" t="s">
        <v>6</v>
      </c>
      <c r="M27" s="10">
        <v>6</v>
      </c>
      <c r="N27" s="10">
        <v>17.7</v>
      </c>
      <c r="O27" s="10">
        <v>1.3</v>
      </c>
      <c r="P27" s="10">
        <v>2</v>
      </c>
      <c r="Q27" s="10">
        <v>4</v>
      </c>
      <c r="R27" s="10">
        <v>0</v>
      </c>
      <c r="S27" s="10">
        <v>0</v>
      </c>
      <c r="T27" s="10">
        <v>0</v>
      </c>
      <c r="U27" s="10">
        <v>0</v>
      </c>
      <c r="V27" s="12">
        <f t="shared" si="1"/>
        <v>0</v>
      </c>
      <c r="W27" s="11" t="s">
        <v>7</v>
      </c>
      <c r="X27" s="10">
        <v>6</v>
      </c>
      <c r="Y27" s="10">
        <v>20.2</v>
      </c>
      <c r="Z27" s="10">
        <v>1.88</v>
      </c>
      <c r="AA27" s="10">
        <v>3</v>
      </c>
      <c r="AB27" s="10">
        <v>3</v>
      </c>
      <c r="AC27" s="10">
        <v>0</v>
      </c>
      <c r="AD27" s="10">
        <v>0</v>
      </c>
      <c r="AE27" s="10">
        <v>0</v>
      </c>
      <c r="AF27" s="10">
        <v>0</v>
      </c>
      <c r="AG27" s="12">
        <f t="shared" si="2"/>
        <v>0</v>
      </c>
    </row>
    <row r="28" spans="1:33" x14ac:dyDescent="0.25">
      <c r="A28" s="9" t="s">
        <v>5</v>
      </c>
      <c r="B28" s="10">
        <v>6</v>
      </c>
      <c r="C28" s="10">
        <v>17.899999999999999</v>
      </c>
      <c r="D28" s="10">
        <v>1.39</v>
      </c>
      <c r="E28" s="10">
        <v>1</v>
      </c>
      <c r="F28" s="10">
        <v>5</v>
      </c>
      <c r="G28" s="10">
        <v>0</v>
      </c>
      <c r="H28" s="10">
        <v>0</v>
      </c>
      <c r="I28" s="10">
        <v>0</v>
      </c>
      <c r="J28" s="10">
        <v>0</v>
      </c>
      <c r="K28" s="26">
        <f t="shared" si="0"/>
        <v>0</v>
      </c>
      <c r="L28" s="9" t="s">
        <v>6</v>
      </c>
      <c r="M28" s="10">
        <v>6</v>
      </c>
      <c r="N28" s="10">
        <v>19.600000000000001</v>
      </c>
      <c r="O28" s="10">
        <v>1.58</v>
      </c>
      <c r="P28" s="10">
        <v>0</v>
      </c>
      <c r="Q28" s="10">
        <v>4</v>
      </c>
      <c r="R28" s="10">
        <v>0</v>
      </c>
      <c r="S28" s="10">
        <v>0</v>
      </c>
      <c r="T28" s="10">
        <v>1</v>
      </c>
      <c r="U28" s="10">
        <v>1</v>
      </c>
      <c r="V28" s="12">
        <f t="shared" si="1"/>
        <v>2</v>
      </c>
      <c r="W28" s="11" t="s">
        <v>7</v>
      </c>
      <c r="X28" s="10">
        <v>6</v>
      </c>
      <c r="Y28" s="10">
        <v>16</v>
      </c>
      <c r="Z28" s="10">
        <v>1.0900000000000001</v>
      </c>
      <c r="AA28" s="10">
        <v>5</v>
      </c>
      <c r="AB28" s="10">
        <v>1</v>
      </c>
      <c r="AC28" s="10">
        <v>0</v>
      </c>
      <c r="AD28" s="10">
        <v>0</v>
      </c>
      <c r="AE28" s="10">
        <v>0</v>
      </c>
      <c r="AF28" s="10">
        <v>0</v>
      </c>
      <c r="AG28" s="12">
        <f t="shared" si="2"/>
        <v>0</v>
      </c>
    </row>
    <row r="29" spans="1:33" x14ac:dyDescent="0.25">
      <c r="A29" s="9" t="s">
        <v>5</v>
      </c>
      <c r="B29" s="10">
        <v>6</v>
      </c>
      <c r="C29" s="10">
        <v>17.2</v>
      </c>
      <c r="D29" s="10">
        <v>1.2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0</v>
      </c>
      <c r="K29" s="26">
        <f t="shared" si="0"/>
        <v>0</v>
      </c>
      <c r="L29" s="9" t="s">
        <v>6</v>
      </c>
      <c r="M29" s="10">
        <v>6</v>
      </c>
      <c r="N29" s="10">
        <v>19.7</v>
      </c>
      <c r="O29" s="10">
        <v>1.68</v>
      </c>
      <c r="P29" s="10">
        <v>2</v>
      </c>
      <c r="Q29" s="10">
        <v>4</v>
      </c>
      <c r="R29" s="10">
        <v>0</v>
      </c>
      <c r="S29" s="10">
        <v>0</v>
      </c>
      <c r="T29" s="10">
        <v>0</v>
      </c>
      <c r="U29" s="10">
        <v>0</v>
      </c>
      <c r="V29" s="12">
        <f t="shared" si="1"/>
        <v>0</v>
      </c>
      <c r="W29" s="11" t="s">
        <v>7</v>
      </c>
      <c r="X29" s="10">
        <v>6</v>
      </c>
      <c r="Y29" s="10">
        <v>16.7</v>
      </c>
      <c r="Z29" s="10">
        <v>1.37</v>
      </c>
      <c r="AA29" s="10">
        <v>5</v>
      </c>
      <c r="AB29" s="10">
        <v>1</v>
      </c>
      <c r="AC29" s="10">
        <v>0</v>
      </c>
      <c r="AD29" s="10">
        <v>0</v>
      </c>
      <c r="AE29" s="10">
        <v>0</v>
      </c>
      <c r="AF29" s="10">
        <v>0</v>
      </c>
      <c r="AG29" s="12">
        <f t="shared" si="2"/>
        <v>0</v>
      </c>
    </row>
    <row r="30" spans="1:33" x14ac:dyDescent="0.25">
      <c r="A30" s="9" t="s">
        <v>5</v>
      </c>
      <c r="B30" s="10">
        <v>6</v>
      </c>
      <c r="C30" s="10">
        <v>18.8</v>
      </c>
      <c r="D30" s="10">
        <v>1.41</v>
      </c>
      <c r="E30" s="10">
        <v>6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26">
        <f t="shared" si="0"/>
        <v>0</v>
      </c>
      <c r="L30" s="9" t="s">
        <v>6</v>
      </c>
      <c r="M30" s="10">
        <v>6</v>
      </c>
      <c r="N30" s="10">
        <v>19.600000000000001</v>
      </c>
      <c r="O30" s="10">
        <v>1.63</v>
      </c>
      <c r="P30" s="10">
        <v>2</v>
      </c>
      <c r="Q30" s="10">
        <v>3</v>
      </c>
      <c r="R30" s="10">
        <v>0</v>
      </c>
      <c r="S30" s="10">
        <v>0</v>
      </c>
      <c r="T30" s="10">
        <v>0</v>
      </c>
      <c r="U30" s="10">
        <v>1</v>
      </c>
      <c r="V30" s="12">
        <f t="shared" si="1"/>
        <v>1</v>
      </c>
      <c r="W30" s="11" t="s">
        <v>7</v>
      </c>
      <c r="X30" s="10">
        <v>6</v>
      </c>
      <c r="Y30" s="10">
        <v>17.600000000000001</v>
      </c>
      <c r="Z30" s="10">
        <v>1.54</v>
      </c>
      <c r="AA30" s="10">
        <v>3</v>
      </c>
      <c r="AB30" s="10">
        <v>2</v>
      </c>
      <c r="AC30" s="10">
        <v>0</v>
      </c>
      <c r="AD30" s="10">
        <v>0</v>
      </c>
      <c r="AE30" s="10">
        <v>0</v>
      </c>
      <c r="AF30" s="10">
        <v>0</v>
      </c>
      <c r="AG30" s="12">
        <f t="shared" si="2"/>
        <v>0</v>
      </c>
    </row>
    <row r="31" spans="1:33" x14ac:dyDescent="0.25">
      <c r="A31" s="9" t="s">
        <v>5</v>
      </c>
      <c r="B31" s="10">
        <v>6</v>
      </c>
      <c r="C31" s="10">
        <v>18</v>
      </c>
      <c r="D31" s="10">
        <v>1.4</v>
      </c>
      <c r="E31" s="10">
        <v>0</v>
      </c>
      <c r="F31" s="10">
        <v>6</v>
      </c>
      <c r="G31" s="10">
        <v>0</v>
      </c>
      <c r="H31" s="10">
        <v>0</v>
      </c>
      <c r="I31" s="10">
        <v>0</v>
      </c>
      <c r="J31" s="10">
        <v>0</v>
      </c>
      <c r="K31" s="26">
        <f t="shared" si="0"/>
        <v>0</v>
      </c>
      <c r="L31" s="9" t="s">
        <v>6</v>
      </c>
      <c r="M31" s="10">
        <v>6</v>
      </c>
      <c r="N31" s="10">
        <v>16.2</v>
      </c>
      <c r="O31" s="10">
        <v>1.01</v>
      </c>
      <c r="P31" s="10">
        <v>4</v>
      </c>
      <c r="Q31" s="10">
        <v>2</v>
      </c>
      <c r="R31" s="10">
        <v>0</v>
      </c>
      <c r="S31" s="10">
        <v>0</v>
      </c>
      <c r="T31" s="10">
        <v>0</v>
      </c>
      <c r="U31" s="10">
        <v>0</v>
      </c>
      <c r="V31" s="12">
        <f t="shared" si="1"/>
        <v>0</v>
      </c>
      <c r="W31" s="11" t="s">
        <v>7</v>
      </c>
      <c r="X31" s="10">
        <v>6</v>
      </c>
      <c r="Y31" s="10">
        <v>17.100000000000001</v>
      </c>
      <c r="Z31" s="10">
        <v>1.36</v>
      </c>
      <c r="AA31" s="10">
        <v>6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2">
        <f t="shared" si="2"/>
        <v>0</v>
      </c>
    </row>
    <row r="32" spans="1:33" x14ac:dyDescent="0.25">
      <c r="A32" s="9" t="s">
        <v>5</v>
      </c>
      <c r="B32" s="10">
        <v>6</v>
      </c>
      <c r="C32" s="10">
        <v>16.8</v>
      </c>
      <c r="D32" s="10">
        <v>1.1200000000000001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0</v>
      </c>
      <c r="K32" s="26">
        <f t="shared" si="0"/>
        <v>0</v>
      </c>
      <c r="L32" s="9" t="s">
        <v>6</v>
      </c>
      <c r="M32" s="10">
        <v>6</v>
      </c>
      <c r="N32" s="10">
        <v>18.600000000000001</v>
      </c>
      <c r="O32" s="10">
        <v>1.54</v>
      </c>
      <c r="P32" s="10">
        <v>1</v>
      </c>
      <c r="Q32" s="10">
        <v>4</v>
      </c>
      <c r="R32" s="10">
        <v>0</v>
      </c>
      <c r="S32" s="10">
        <v>0</v>
      </c>
      <c r="T32" s="10">
        <v>0</v>
      </c>
      <c r="U32" s="10">
        <v>0</v>
      </c>
      <c r="V32" s="12">
        <f t="shared" si="1"/>
        <v>0</v>
      </c>
      <c r="W32" s="11" t="s">
        <v>7</v>
      </c>
      <c r="X32" s="10">
        <v>6</v>
      </c>
      <c r="Y32" s="10">
        <v>17.399999999999999</v>
      </c>
      <c r="Z32" s="10">
        <v>1.42</v>
      </c>
      <c r="AA32" s="10">
        <v>4</v>
      </c>
      <c r="AB32" s="10">
        <v>2</v>
      </c>
      <c r="AC32" s="10">
        <v>0</v>
      </c>
      <c r="AD32" s="10">
        <v>0</v>
      </c>
      <c r="AE32" s="10">
        <v>0</v>
      </c>
      <c r="AF32" s="10">
        <v>0</v>
      </c>
      <c r="AG32" s="12">
        <f t="shared" si="2"/>
        <v>0</v>
      </c>
    </row>
    <row r="33" spans="1:33" x14ac:dyDescent="0.25">
      <c r="A33" s="9" t="s">
        <v>5</v>
      </c>
      <c r="B33" s="10">
        <v>6</v>
      </c>
      <c r="C33" s="10">
        <v>16.2</v>
      </c>
      <c r="D33" s="10">
        <v>0.99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0</v>
      </c>
      <c r="K33" s="26">
        <f t="shared" si="0"/>
        <v>0</v>
      </c>
      <c r="L33" s="9" t="s">
        <v>6</v>
      </c>
      <c r="M33" s="10">
        <v>6</v>
      </c>
      <c r="N33" s="10">
        <v>16.899999999999999</v>
      </c>
      <c r="O33" s="10">
        <v>1.25</v>
      </c>
      <c r="P33" s="10">
        <v>3</v>
      </c>
      <c r="Q33" s="10">
        <v>3</v>
      </c>
      <c r="R33" s="10">
        <v>0</v>
      </c>
      <c r="S33" s="10">
        <v>0</v>
      </c>
      <c r="T33" s="10">
        <v>0</v>
      </c>
      <c r="U33" s="10">
        <v>0</v>
      </c>
      <c r="V33" s="12">
        <f t="shared" si="1"/>
        <v>0</v>
      </c>
      <c r="W33" s="11" t="s">
        <v>7</v>
      </c>
      <c r="X33" s="10">
        <v>6</v>
      </c>
      <c r="Y33" s="10">
        <v>20.100000000000001</v>
      </c>
      <c r="Z33" s="10">
        <v>1.79</v>
      </c>
      <c r="AA33" s="10">
        <v>2</v>
      </c>
      <c r="AB33" s="10">
        <v>3</v>
      </c>
      <c r="AC33" s="10">
        <v>0</v>
      </c>
      <c r="AD33" s="10">
        <v>0</v>
      </c>
      <c r="AE33" s="10">
        <v>1</v>
      </c>
      <c r="AF33" s="10">
        <v>0</v>
      </c>
      <c r="AG33" s="12">
        <f t="shared" si="2"/>
        <v>1</v>
      </c>
    </row>
    <row r="34" spans="1:33" x14ac:dyDescent="0.25">
      <c r="A34" s="9" t="s">
        <v>5</v>
      </c>
      <c r="B34" s="10">
        <v>6</v>
      </c>
      <c r="C34" s="10">
        <v>16.7</v>
      </c>
      <c r="D34" s="10">
        <v>1.1200000000000001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0</v>
      </c>
      <c r="K34" s="26">
        <f t="shared" ref="K34:K65" si="3">SUM(G34:J34)</f>
        <v>0</v>
      </c>
      <c r="L34" s="9" t="s">
        <v>6</v>
      </c>
      <c r="M34" s="10">
        <v>6</v>
      </c>
      <c r="N34" s="10">
        <v>17.899999999999999</v>
      </c>
      <c r="O34" s="10">
        <v>1.36</v>
      </c>
      <c r="P34" s="10">
        <v>0</v>
      </c>
      <c r="Q34" s="10">
        <v>6</v>
      </c>
      <c r="R34" s="10">
        <v>0</v>
      </c>
      <c r="S34" s="10">
        <v>0</v>
      </c>
      <c r="T34" s="10">
        <v>0</v>
      </c>
      <c r="U34" s="10">
        <v>0</v>
      </c>
      <c r="V34" s="12">
        <f t="shared" ref="V34:V65" si="4">SUM(R34:U34)</f>
        <v>0</v>
      </c>
      <c r="W34" s="11" t="s">
        <v>7</v>
      </c>
      <c r="X34" s="10">
        <v>6</v>
      </c>
      <c r="Y34" s="10">
        <v>16.100000000000001</v>
      </c>
      <c r="Z34" s="10">
        <v>1.07</v>
      </c>
      <c r="AA34" s="10">
        <v>4</v>
      </c>
      <c r="AB34" s="10">
        <v>1</v>
      </c>
      <c r="AC34" s="10">
        <v>0</v>
      </c>
      <c r="AD34" s="10">
        <v>0</v>
      </c>
      <c r="AE34" s="10">
        <v>0</v>
      </c>
      <c r="AF34" s="10">
        <v>1</v>
      </c>
      <c r="AG34" s="12">
        <f t="shared" ref="AG34:AG65" si="5">SUM(AC34:AF34)</f>
        <v>1</v>
      </c>
    </row>
    <row r="35" spans="1:33" x14ac:dyDescent="0.25">
      <c r="A35" s="9" t="s">
        <v>5</v>
      </c>
      <c r="B35" s="10">
        <v>6</v>
      </c>
      <c r="C35" s="10">
        <v>17</v>
      </c>
      <c r="D35" s="10">
        <v>1.1200000000000001</v>
      </c>
      <c r="E35" s="10">
        <v>1</v>
      </c>
      <c r="F35" s="10">
        <v>5</v>
      </c>
      <c r="G35" s="10">
        <v>0</v>
      </c>
      <c r="H35" s="10">
        <v>0</v>
      </c>
      <c r="I35" s="10">
        <v>0</v>
      </c>
      <c r="J35" s="10">
        <v>0</v>
      </c>
      <c r="K35" s="26">
        <f t="shared" si="3"/>
        <v>0</v>
      </c>
      <c r="L35" s="9" t="s">
        <v>6</v>
      </c>
      <c r="M35" s="10">
        <v>6</v>
      </c>
      <c r="N35" s="10">
        <v>19.600000000000001</v>
      </c>
      <c r="O35" s="10">
        <v>1.63</v>
      </c>
      <c r="P35" s="10">
        <v>3</v>
      </c>
      <c r="Q35" s="10">
        <v>3</v>
      </c>
      <c r="R35" s="10">
        <v>0</v>
      </c>
      <c r="S35" s="10">
        <v>0</v>
      </c>
      <c r="T35" s="10">
        <v>0</v>
      </c>
      <c r="U35" s="10">
        <v>0</v>
      </c>
      <c r="V35" s="12">
        <f t="shared" si="4"/>
        <v>0</v>
      </c>
      <c r="W35" s="11" t="s">
        <v>7</v>
      </c>
      <c r="X35" s="10">
        <v>6</v>
      </c>
      <c r="Y35" s="10">
        <v>17.399999999999999</v>
      </c>
      <c r="Z35" s="10">
        <v>1.27</v>
      </c>
      <c r="AA35" s="10">
        <v>6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2">
        <f t="shared" si="5"/>
        <v>0</v>
      </c>
    </row>
    <row r="36" spans="1:33" x14ac:dyDescent="0.25">
      <c r="A36" s="9" t="s">
        <v>5</v>
      </c>
      <c r="B36" s="10">
        <v>6</v>
      </c>
      <c r="C36" s="10">
        <v>16</v>
      </c>
      <c r="D36" s="10">
        <v>0.94</v>
      </c>
      <c r="E36" s="10">
        <v>1</v>
      </c>
      <c r="F36" s="10">
        <v>5</v>
      </c>
      <c r="G36" s="10">
        <v>0</v>
      </c>
      <c r="H36" s="10">
        <v>0</v>
      </c>
      <c r="I36" s="10">
        <v>0</v>
      </c>
      <c r="J36" s="10">
        <v>0</v>
      </c>
      <c r="K36" s="26">
        <f t="shared" si="3"/>
        <v>0</v>
      </c>
      <c r="L36" s="9" t="s">
        <v>6</v>
      </c>
      <c r="M36" s="10">
        <v>6</v>
      </c>
      <c r="N36" s="10">
        <v>18</v>
      </c>
      <c r="O36" s="10">
        <v>1.31</v>
      </c>
      <c r="P36" s="10">
        <v>3</v>
      </c>
      <c r="Q36" s="10">
        <v>3</v>
      </c>
      <c r="R36" s="10">
        <v>0</v>
      </c>
      <c r="S36" s="10">
        <v>0</v>
      </c>
      <c r="T36" s="10">
        <v>0</v>
      </c>
      <c r="U36" s="10">
        <v>0</v>
      </c>
      <c r="V36" s="12">
        <f t="shared" si="4"/>
        <v>0</v>
      </c>
      <c r="W36" s="11" t="s">
        <v>7</v>
      </c>
      <c r="X36" s="10">
        <v>6</v>
      </c>
      <c r="Y36" s="10">
        <v>16.7</v>
      </c>
      <c r="Z36" s="10">
        <v>1.23</v>
      </c>
      <c r="AA36" s="10">
        <v>6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2">
        <f t="shared" si="5"/>
        <v>0</v>
      </c>
    </row>
    <row r="37" spans="1:33" x14ac:dyDescent="0.25">
      <c r="A37" s="9" t="s">
        <v>5</v>
      </c>
      <c r="B37" s="10">
        <v>6</v>
      </c>
      <c r="C37" s="10">
        <v>20.8</v>
      </c>
      <c r="D37" s="10">
        <v>1.82</v>
      </c>
      <c r="E37" s="10">
        <v>0</v>
      </c>
      <c r="F37" s="10">
        <v>6</v>
      </c>
      <c r="G37" s="10">
        <v>0</v>
      </c>
      <c r="H37" s="10">
        <v>0</v>
      </c>
      <c r="I37" s="10">
        <v>0</v>
      </c>
      <c r="J37" s="10">
        <v>0</v>
      </c>
      <c r="K37" s="26">
        <f t="shared" si="3"/>
        <v>0</v>
      </c>
      <c r="L37" s="9" t="s">
        <v>6</v>
      </c>
      <c r="M37" s="10">
        <v>6</v>
      </c>
      <c r="N37" s="10">
        <v>17.600000000000001</v>
      </c>
      <c r="O37" s="10">
        <v>1.34</v>
      </c>
      <c r="P37" s="10">
        <v>3</v>
      </c>
      <c r="Q37" s="10">
        <v>3</v>
      </c>
      <c r="R37" s="10">
        <v>0</v>
      </c>
      <c r="S37" s="10">
        <v>0</v>
      </c>
      <c r="T37" s="10">
        <v>0</v>
      </c>
      <c r="U37" s="10">
        <v>0</v>
      </c>
      <c r="V37" s="12">
        <f t="shared" si="4"/>
        <v>0</v>
      </c>
      <c r="W37" s="11" t="s">
        <v>7</v>
      </c>
      <c r="X37" s="10">
        <v>6</v>
      </c>
      <c r="Y37" s="10">
        <v>16.7</v>
      </c>
      <c r="Z37" s="10">
        <v>1.27</v>
      </c>
      <c r="AA37" s="10">
        <v>5</v>
      </c>
      <c r="AB37" s="10">
        <v>1</v>
      </c>
      <c r="AC37" s="10">
        <v>0</v>
      </c>
      <c r="AD37" s="10">
        <v>0</v>
      </c>
      <c r="AE37" s="10">
        <v>0</v>
      </c>
      <c r="AF37" s="10">
        <v>0</v>
      </c>
      <c r="AG37" s="12">
        <f t="shared" si="5"/>
        <v>0</v>
      </c>
    </row>
    <row r="38" spans="1:33" x14ac:dyDescent="0.25">
      <c r="A38" s="9" t="s">
        <v>5</v>
      </c>
      <c r="B38" s="10">
        <v>12</v>
      </c>
      <c r="C38" s="10">
        <v>20.8</v>
      </c>
      <c r="D38" s="10">
        <v>1.82</v>
      </c>
      <c r="E38" s="10">
        <v>4</v>
      </c>
      <c r="F38" s="10">
        <v>8</v>
      </c>
      <c r="G38" s="10">
        <v>0</v>
      </c>
      <c r="H38" s="10">
        <v>0</v>
      </c>
      <c r="I38" s="10">
        <v>0</v>
      </c>
      <c r="J38" s="10">
        <v>0</v>
      </c>
      <c r="K38" s="26">
        <f t="shared" si="3"/>
        <v>0</v>
      </c>
      <c r="L38" s="9" t="s">
        <v>6</v>
      </c>
      <c r="M38" s="10">
        <v>12</v>
      </c>
      <c r="N38" s="10">
        <v>18.399999999999999</v>
      </c>
      <c r="O38" s="10">
        <v>1.55</v>
      </c>
      <c r="P38" s="10">
        <v>10</v>
      </c>
      <c r="Q38" s="10">
        <v>2</v>
      </c>
      <c r="R38" s="10">
        <v>0</v>
      </c>
      <c r="S38" s="10">
        <v>0</v>
      </c>
      <c r="T38" s="10">
        <v>0</v>
      </c>
      <c r="U38" s="10">
        <v>0</v>
      </c>
      <c r="V38" s="12">
        <f t="shared" si="4"/>
        <v>0</v>
      </c>
      <c r="W38" s="11" t="s">
        <v>7</v>
      </c>
      <c r="X38" s="10">
        <v>12</v>
      </c>
      <c r="Y38" s="10">
        <v>18.100000000000001</v>
      </c>
      <c r="Z38" s="10">
        <v>1.54</v>
      </c>
      <c r="AA38" s="10">
        <v>12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2">
        <f t="shared" si="5"/>
        <v>0</v>
      </c>
    </row>
    <row r="39" spans="1:33" x14ac:dyDescent="0.25">
      <c r="A39" s="9" t="s">
        <v>5</v>
      </c>
      <c r="B39" s="10">
        <v>12</v>
      </c>
      <c r="C39" s="10">
        <v>17.600000000000001</v>
      </c>
      <c r="D39" s="10">
        <v>1.33</v>
      </c>
      <c r="E39" s="10">
        <v>5</v>
      </c>
      <c r="F39" s="10">
        <v>7</v>
      </c>
      <c r="G39" s="10">
        <v>0</v>
      </c>
      <c r="H39" s="10">
        <v>0</v>
      </c>
      <c r="I39" s="10">
        <v>0</v>
      </c>
      <c r="J39" s="10">
        <v>0</v>
      </c>
      <c r="K39" s="26">
        <f t="shared" si="3"/>
        <v>0</v>
      </c>
      <c r="L39" s="9" t="s">
        <v>6</v>
      </c>
      <c r="M39" s="10">
        <v>12</v>
      </c>
      <c r="N39" s="10">
        <v>16</v>
      </c>
      <c r="O39" s="10">
        <v>1.07</v>
      </c>
      <c r="P39" s="10">
        <v>10</v>
      </c>
      <c r="Q39" s="10">
        <v>1</v>
      </c>
      <c r="R39" s="10">
        <v>1</v>
      </c>
      <c r="S39" s="10">
        <v>0</v>
      </c>
      <c r="T39" s="10">
        <v>0</v>
      </c>
      <c r="U39" s="10">
        <v>0</v>
      </c>
      <c r="V39" s="12">
        <f t="shared" si="4"/>
        <v>1</v>
      </c>
      <c r="W39" s="11" t="s">
        <v>7</v>
      </c>
      <c r="X39" s="10">
        <v>12</v>
      </c>
      <c r="Y39" s="10">
        <v>17.600000000000001</v>
      </c>
      <c r="Z39" s="10">
        <v>1.43</v>
      </c>
      <c r="AA39" s="10">
        <v>12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2">
        <f t="shared" si="5"/>
        <v>0</v>
      </c>
    </row>
    <row r="40" spans="1:33" x14ac:dyDescent="0.25">
      <c r="A40" s="9" t="s">
        <v>5</v>
      </c>
      <c r="B40" s="10">
        <v>12</v>
      </c>
      <c r="C40" s="10">
        <v>17.2</v>
      </c>
      <c r="D40" s="10">
        <v>1.25</v>
      </c>
      <c r="E40" s="10">
        <v>4</v>
      </c>
      <c r="F40" s="10">
        <v>7</v>
      </c>
      <c r="G40" s="10">
        <v>0</v>
      </c>
      <c r="H40" s="10">
        <v>0</v>
      </c>
      <c r="I40" s="10">
        <v>0</v>
      </c>
      <c r="J40" s="10">
        <v>1</v>
      </c>
      <c r="K40" s="26">
        <f t="shared" si="3"/>
        <v>1</v>
      </c>
      <c r="L40" s="9" t="s">
        <v>6</v>
      </c>
      <c r="M40" s="10">
        <v>12</v>
      </c>
      <c r="N40" s="10">
        <v>17.3</v>
      </c>
      <c r="O40" s="10">
        <v>1.9</v>
      </c>
      <c r="P40" s="10">
        <v>8</v>
      </c>
      <c r="Q40" s="10">
        <v>3</v>
      </c>
      <c r="R40" s="10">
        <v>0</v>
      </c>
      <c r="S40" s="10">
        <v>0</v>
      </c>
      <c r="T40" s="10">
        <v>0</v>
      </c>
      <c r="U40" s="10">
        <v>1</v>
      </c>
      <c r="V40" s="12">
        <f t="shared" si="4"/>
        <v>1</v>
      </c>
      <c r="W40" s="11" t="s">
        <v>7</v>
      </c>
      <c r="X40" s="10">
        <v>12</v>
      </c>
      <c r="Y40" s="10">
        <v>17</v>
      </c>
      <c r="Z40" s="10">
        <v>1.32</v>
      </c>
      <c r="AA40" s="10">
        <v>10</v>
      </c>
      <c r="AB40" s="10">
        <v>2</v>
      </c>
      <c r="AC40" s="10">
        <v>0</v>
      </c>
      <c r="AD40" s="10">
        <v>0</v>
      </c>
      <c r="AE40" s="10">
        <v>0</v>
      </c>
      <c r="AF40" s="10">
        <v>0</v>
      </c>
      <c r="AG40" s="12">
        <f t="shared" si="5"/>
        <v>0</v>
      </c>
    </row>
    <row r="41" spans="1:33" x14ac:dyDescent="0.25">
      <c r="A41" s="9" t="s">
        <v>5</v>
      </c>
      <c r="B41" s="10">
        <v>12</v>
      </c>
      <c r="C41" s="10">
        <v>16</v>
      </c>
      <c r="D41" s="10">
        <v>1.2</v>
      </c>
      <c r="E41" s="10">
        <v>8</v>
      </c>
      <c r="F41" s="10">
        <v>4</v>
      </c>
      <c r="G41" s="10">
        <v>0</v>
      </c>
      <c r="H41" s="10">
        <v>0</v>
      </c>
      <c r="I41" s="10">
        <v>0</v>
      </c>
      <c r="J41" s="10">
        <v>0</v>
      </c>
      <c r="K41" s="26">
        <f t="shared" si="3"/>
        <v>0</v>
      </c>
      <c r="L41" s="9" t="s">
        <v>6</v>
      </c>
      <c r="M41" s="10">
        <v>12</v>
      </c>
      <c r="N41" s="10">
        <v>17.399999999999999</v>
      </c>
      <c r="O41" s="10">
        <v>1.29</v>
      </c>
      <c r="P41" s="10">
        <v>11</v>
      </c>
      <c r="Q41" s="10">
        <v>1</v>
      </c>
      <c r="R41" s="10">
        <v>0</v>
      </c>
      <c r="S41" s="10">
        <v>0</v>
      </c>
      <c r="T41" s="10">
        <v>0</v>
      </c>
      <c r="U41" s="10">
        <v>0</v>
      </c>
      <c r="V41" s="12">
        <f t="shared" si="4"/>
        <v>0</v>
      </c>
      <c r="W41" s="11" t="s">
        <v>7</v>
      </c>
      <c r="X41" s="10">
        <v>12</v>
      </c>
      <c r="Y41" s="10">
        <v>16</v>
      </c>
      <c r="Z41" s="10">
        <v>1.1000000000000001</v>
      </c>
      <c r="AA41" s="10">
        <v>11</v>
      </c>
      <c r="AB41" s="10">
        <v>1</v>
      </c>
      <c r="AC41" s="10">
        <v>0</v>
      </c>
      <c r="AD41" s="10">
        <v>0</v>
      </c>
      <c r="AE41" s="10">
        <v>0</v>
      </c>
      <c r="AF41" s="10">
        <v>0</v>
      </c>
      <c r="AG41" s="12">
        <f t="shared" si="5"/>
        <v>0</v>
      </c>
    </row>
    <row r="42" spans="1:33" x14ac:dyDescent="0.25">
      <c r="A42" s="9" t="s">
        <v>5</v>
      </c>
      <c r="B42" s="10">
        <v>12</v>
      </c>
      <c r="C42" s="10">
        <v>18</v>
      </c>
      <c r="D42" s="10">
        <v>1.4</v>
      </c>
      <c r="E42" s="10">
        <v>3</v>
      </c>
      <c r="F42" s="10">
        <v>8</v>
      </c>
      <c r="G42" s="10">
        <v>1</v>
      </c>
      <c r="H42" s="10">
        <v>0</v>
      </c>
      <c r="I42" s="10">
        <v>0</v>
      </c>
      <c r="J42" s="10">
        <v>0</v>
      </c>
      <c r="K42" s="26">
        <f t="shared" si="3"/>
        <v>1</v>
      </c>
      <c r="L42" s="9" t="s">
        <v>6</v>
      </c>
      <c r="M42" s="10">
        <v>12</v>
      </c>
      <c r="N42" s="10">
        <v>18.399999999999999</v>
      </c>
      <c r="O42" s="10">
        <v>1.51</v>
      </c>
      <c r="P42" s="10">
        <v>7</v>
      </c>
      <c r="Q42" s="10">
        <v>5</v>
      </c>
      <c r="R42" s="10">
        <v>0</v>
      </c>
      <c r="S42" s="10">
        <v>0</v>
      </c>
      <c r="T42" s="10">
        <v>0</v>
      </c>
      <c r="U42" s="10">
        <v>0</v>
      </c>
      <c r="V42" s="12">
        <f t="shared" si="4"/>
        <v>0</v>
      </c>
      <c r="W42" s="11" t="s">
        <v>7</v>
      </c>
      <c r="X42" s="10">
        <v>12</v>
      </c>
      <c r="Y42" s="10">
        <v>16.600000000000001</v>
      </c>
      <c r="Z42" s="10">
        <v>1.23</v>
      </c>
      <c r="AA42" s="10">
        <v>12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2">
        <f t="shared" si="5"/>
        <v>0</v>
      </c>
    </row>
    <row r="43" spans="1:33" x14ac:dyDescent="0.25">
      <c r="A43" s="9" t="s">
        <v>5</v>
      </c>
      <c r="B43" s="10">
        <v>12</v>
      </c>
      <c r="C43" s="10">
        <v>17</v>
      </c>
      <c r="D43" s="10">
        <v>1.19</v>
      </c>
      <c r="E43" s="10">
        <v>5</v>
      </c>
      <c r="F43" s="10">
        <v>7</v>
      </c>
      <c r="G43" s="10">
        <v>0</v>
      </c>
      <c r="H43" s="10">
        <v>0</v>
      </c>
      <c r="I43" s="10">
        <v>0</v>
      </c>
      <c r="J43" s="10">
        <v>0</v>
      </c>
      <c r="K43" s="26">
        <f t="shared" si="3"/>
        <v>0</v>
      </c>
      <c r="L43" s="9" t="s">
        <v>6</v>
      </c>
      <c r="M43" s="10">
        <v>12</v>
      </c>
      <c r="N43" s="10">
        <v>18.100000000000001</v>
      </c>
      <c r="O43" s="10">
        <v>1.45</v>
      </c>
      <c r="P43" s="10">
        <v>9</v>
      </c>
      <c r="Q43" s="10">
        <v>3</v>
      </c>
      <c r="R43" s="10">
        <v>0</v>
      </c>
      <c r="S43" s="10">
        <v>0</v>
      </c>
      <c r="T43" s="10">
        <v>0</v>
      </c>
      <c r="U43" s="10">
        <v>0</v>
      </c>
      <c r="V43" s="12">
        <f t="shared" si="4"/>
        <v>0</v>
      </c>
      <c r="W43" s="11" t="s">
        <v>7</v>
      </c>
      <c r="X43" s="10">
        <v>12</v>
      </c>
      <c r="Y43" s="10">
        <v>16.8</v>
      </c>
      <c r="Z43" s="10">
        <v>1.32</v>
      </c>
      <c r="AA43" s="10">
        <v>11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2">
        <f t="shared" si="5"/>
        <v>0</v>
      </c>
    </row>
    <row r="44" spans="1:33" x14ac:dyDescent="0.25">
      <c r="A44" s="9" t="s">
        <v>5</v>
      </c>
      <c r="B44" s="10">
        <v>12</v>
      </c>
      <c r="C44" s="10">
        <v>17.600000000000001</v>
      </c>
      <c r="D44" s="10">
        <v>1.38</v>
      </c>
      <c r="E44" s="10">
        <v>6</v>
      </c>
      <c r="F44" s="10">
        <v>5</v>
      </c>
      <c r="G44" s="10">
        <v>1</v>
      </c>
      <c r="H44" s="10">
        <v>0</v>
      </c>
      <c r="I44" s="10">
        <v>0</v>
      </c>
      <c r="J44" s="10">
        <v>0</v>
      </c>
      <c r="K44" s="26">
        <f t="shared" si="3"/>
        <v>1</v>
      </c>
      <c r="L44" s="9" t="s">
        <v>6</v>
      </c>
      <c r="M44" s="10">
        <v>12</v>
      </c>
      <c r="N44" s="10">
        <v>16.100000000000001</v>
      </c>
      <c r="O44" s="10">
        <v>1.04</v>
      </c>
      <c r="P44" s="10">
        <v>9</v>
      </c>
      <c r="Q44" s="10">
        <v>2</v>
      </c>
      <c r="R44" s="10">
        <v>1</v>
      </c>
      <c r="S44" s="10">
        <v>0</v>
      </c>
      <c r="T44" s="10">
        <v>0</v>
      </c>
      <c r="U44" s="10">
        <v>0</v>
      </c>
      <c r="V44" s="12">
        <f t="shared" si="4"/>
        <v>1</v>
      </c>
      <c r="W44" s="11" t="s">
        <v>7</v>
      </c>
      <c r="X44" s="10">
        <v>12</v>
      </c>
      <c r="Y44" s="10">
        <v>20.100000000000001</v>
      </c>
      <c r="Z44" s="10">
        <v>2.0699999999999998</v>
      </c>
      <c r="AA44" s="10">
        <v>8</v>
      </c>
      <c r="AB44" s="10">
        <v>2</v>
      </c>
      <c r="AC44" s="10">
        <v>0</v>
      </c>
      <c r="AD44" s="10">
        <v>0</v>
      </c>
      <c r="AE44" s="10">
        <v>2</v>
      </c>
      <c r="AF44" s="10">
        <v>0</v>
      </c>
      <c r="AG44" s="12">
        <f t="shared" si="5"/>
        <v>2</v>
      </c>
    </row>
    <row r="45" spans="1:33" x14ac:dyDescent="0.25">
      <c r="A45" s="9" t="s">
        <v>5</v>
      </c>
      <c r="B45" s="10">
        <v>12</v>
      </c>
      <c r="C45" s="10">
        <v>17.3</v>
      </c>
      <c r="D45" s="10">
        <v>1.17</v>
      </c>
      <c r="E45" s="10">
        <v>2</v>
      </c>
      <c r="F45" s="10">
        <v>9</v>
      </c>
      <c r="G45" s="10">
        <v>0</v>
      </c>
      <c r="H45" s="10">
        <v>0</v>
      </c>
      <c r="I45" s="10">
        <v>0</v>
      </c>
      <c r="J45" s="10">
        <v>1</v>
      </c>
      <c r="K45" s="26">
        <f t="shared" si="3"/>
        <v>1</v>
      </c>
      <c r="L45" s="9" t="s">
        <v>6</v>
      </c>
      <c r="M45" s="10">
        <v>12</v>
      </c>
      <c r="N45" s="10">
        <v>20.6</v>
      </c>
      <c r="O45" s="10">
        <v>2.1</v>
      </c>
      <c r="P45" s="10">
        <v>8</v>
      </c>
      <c r="Q45" s="10">
        <v>4</v>
      </c>
      <c r="R45" s="10">
        <v>0</v>
      </c>
      <c r="S45" s="10">
        <v>0</v>
      </c>
      <c r="T45" s="10">
        <v>0</v>
      </c>
      <c r="U45" s="10">
        <v>0</v>
      </c>
      <c r="V45" s="12">
        <f t="shared" si="4"/>
        <v>0</v>
      </c>
      <c r="W45" s="11" t="s">
        <v>7</v>
      </c>
      <c r="X45" s="10">
        <v>12</v>
      </c>
      <c r="Y45" s="10">
        <v>19.7</v>
      </c>
      <c r="Z45" s="10">
        <v>1.84</v>
      </c>
      <c r="AA45" s="10">
        <v>11</v>
      </c>
      <c r="AB45" s="10">
        <v>1</v>
      </c>
      <c r="AC45" s="10">
        <v>0</v>
      </c>
      <c r="AD45" s="10">
        <v>0</v>
      </c>
      <c r="AE45" s="10">
        <v>0</v>
      </c>
      <c r="AF45" s="10">
        <v>0</v>
      </c>
      <c r="AG45" s="12">
        <f t="shared" si="5"/>
        <v>0</v>
      </c>
    </row>
    <row r="46" spans="1:33" x14ac:dyDescent="0.25">
      <c r="A46" s="9" t="s">
        <v>5</v>
      </c>
      <c r="B46" s="10">
        <v>12</v>
      </c>
      <c r="C46" s="10">
        <v>18</v>
      </c>
      <c r="D46" s="10">
        <v>1.33</v>
      </c>
      <c r="E46" s="10">
        <v>4</v>
      </c>
      <c r="F46" s="10">
        <v>8</v>
      </c>
      <c r="G46" s="10">
        <v>0</v>
      </c>
      <c r="H46" s="10">
        <v>0</v>
      </c>
      <c r="I46" s="10">
        <v>0</v>
      </c>
      <c r="J46" s="10">
        <v>0</v>
      </c>
      <c r="K46" s="26">
        <f t="shared" si="3"/>
        <v>0</v>
      </c>
      <c r="L46" s="9" t="s">
        <v>6</v>
      </c>
      <c r="M46" s="10">
        <v>12</v>
      </c>
      <c r="N46" s="10">
        <v>17.899999999999999</v>
      </c>
      <c r="O46" s="10">
        <v>1.18</v>
      </c>
      <c r="P46" s="10">
        <v>9</v>
      </c>
      <c r="Q46" s="10">
        <v>3</v>
      </c>
      <c r="R46" s="10">
        <v>0</v>
      </c>
      <c r="S46" s="10">
        <v>0</v>
      </c>
      <c r="T46" s="10">
        <v>0</v>
      </c>
      <c r="U46" s="10">
        <v>0</v>
      </c>
      <c r="V46" s="12">
        <f t="shared" si="4"/>
        <v>0</v>
      </c>
      <c r="W46" s="11" t="s">
        <v>7</v>
      </c>
      <c r="X46" s="10">
        <v>12</v>
      </c>
      <c r="Y46" s="10">
        <v>16.600000000000001</v>
      </c>
      <c r="Z46" s="10">
        <v>1.0900000000000001</v>
      </c>
      <c r="AA46" s="10">
        <v>12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2">
        <f t="shared" si="5"/>
        <v>0</v>
      </c>
    </row>
    <row r="47" spans="1:33" x14ac:dyDescent="0.25">
      <c r="A47" s="9" t="s">
        <v>5</v>
      </c>
      <c r="B47" s="10">
        <v>12</v>
      </c>
      <c r="C47" s="10">
        <v>20.7</v>
      </c>
      <c r="D47" s="10">
        <v>1.98</v>
      </c>
      <c r="E47" s="10">
        <v>2</v>
      </c>
      <c r="F47" s="10">
        <v>10</v>
      </c>
      <c r="G47" s="10">
        <v>0</v>
      </c>
      <c r="H47" s="10">
        <v>0</v>
      </c>
      <c r="I47" s="10">
        <v>0</v>
      </c>
      <c r="J47" s="10">
        <v>0</v>
      </c>
      <c r="K47" s="26">
        <f t="shared" si="3"/>
        <v>0</v>
      </c>
      <c r="L47" s="9" t="s">
        <v>6</v>
      </c>
      <c r="M47" s="10">
        <v>12</v>
      </c>
      <c r="N47" s="10">
        <v>16</v>
      </c>
      <c r="O47" s="10">
        <v>1.05</v>
      </c>
      <c r="P47" s="10">
        <v>10</v>
      </c>
      <c r="Q47" s="10">
        <v>2</v>
      </c>
      <c r="R47" s="10">
        <v>0</v>
      </c>
      <c r="S47" s="10">
        <v>0</v>
      </c>
      <c r="T47" s="10">
        <v>0</v>
      </c>
      <c r="U47" s="10">
        <v>0</v>
      </c>
      <c r="V47" s="12">
        <f t="shared" si="4"/>
        <v>0</v>
      </c>
      <c r="W47" s="11" t="s">
        <v>7</v>
      </c>
      <c r="X47" s="10">
        <v>12</v>
      </c>
      <c r="Y47" s="10">
        <v>18.2</v>
      </c>
      <c r="Z47" s="10">
        <v>16.3</v>
      </c>
      <c r="AA47" s="10">
        <v>12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2">
        <f t="shared" si="5"/>
        <v>0</v>
      </c>
    </row>
    <row r="48" spans="1:33" x14ac:dyDescent="0.25">
      <c r="A48" s="9" t="s">
        <v>5</v>
      </c>
      <c r="B48" s="10">
        <v>12</v>
      </c>
      <c r="C48" s="10">
        <v>17.899999999999999</v>
      </c>
      <c r="D48" s="10">
        <v>1.42</v>
      </c>
      <c r="E48" s="10">
        <v>5</v>
      </c>
      <c r="F48" s="10">
        <v>7</v>
      </c>
      <c r="G48" s="10">
        <v>0</v>
      </c>
      <c r="H48" s="10">
        <v>0</v>
      </c>
      <c r="I48" s="10">
        <v>0</v>
      </c>
      <c r="J48" s="10">
        <v>0</v>
      </c>
      <c r="K48" s="26">
        <f t="shared" si="3"/>
        <v>0</v>
      </c>
      <c r="L48" s="9" t="s">
        <v>6</v>
      </c>
      <c r="M48" s="10">
        <v>12</v>
      </c>
      <c r="N48" s="10">
        <v>20.2</v>
      </c>
      <c r="O48" s="10">
        <v>1.83</v>
      </c>
      <c r="P48" s="10">
        <v>10</v>
      </c>
      <c r="Q48" s="10">
        <v>2</v>
      </c>
      <c r="R48" s="10">
        <v>0</v>
      </c>
      <c r="S48" s="10">
        <v>0</v>
      </c>
      <c r="T48" s="10">
        <v>0</v>
      </c>
      <c r="U48" s="10">
        <v>0</v>
      </c>
      <c r="V48" s="12">
        <f t="shared" si="4"/>
        <v>0</v>
      </c>
      <c r="W48" s="11" t="s">
        <v>7</v>
      </c>
      <c r="X48" s="10">
        <v>12</v>
      </c>
      <c r="Y48" s="10">
        <v>16.899999999999999</v>
      </c>
      <c r="Z48" s="10">
        <v>1.31</v>
      </c>
      <c r="AA48" s="10">
        <v>10</v>
      </c>
      <c r="AB48" s="10">
        <v>2</v>
      </c>
      <c r="AC48" s="10">
        <v>0</v>
      </c>
      <c r="AD48" s="10">
        <v>0</v>
      </c>
      <c r="AE48" s="10">
        <v>0</v>
      </c>
      <c r="AF48" s="10">
        <v>0</v>
      </c>
      <c r="AG48" s="12">
        <f t="shared" si="5"/>
        <v>0</v>
      </c>
    </row>
    <row r="49" spans="1:33" x14ac:dyDescent="0.25">
      <c r="A49" s="9" t="s">
        <v>5</v>
      </c>
      <c r="B49" s="10">
        <v>12</v>
      </c>
      <c r="C49" s="10">
        <v>20.100000000000001</v>
      </c>
      <c r="D49" s="10">
        <v>1.7</v>
      </c>
      <c r="E49" s="10">
        <v>3</v>
      </c>
      <c r="F49" s="10">
        <v>9</v>
      </c>
      <c r="G49" s="10">
        <v>0</v>
      </c>
      <c r="H49" s="10">
        <v>0</v>
      </c>
      <c r="I49" s="10">
        <v>0</v>
      </c>
      <c r="J49" s="10">
        <v>0</v>
      </c>
      <c r="K49" s="26">
        <f t="shared" si="3"/>
        <v>0</v>
      </c>
      <c r="L49" s="9" t="s">
        <v>6</v>
      </c>
      <c r="M49" s="10">
        <v>12</v>
      </c>
      <c r="N49" s="10">
        <v>16</v>
      </c>
      <c r="O49" s="10">
        <v>1.03</v>
      </c>
      <c r="P49" s="10">
        <v>12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2">
        <f t="shared" si="4"/>
        <v>0</v>
      </c>
      <c r="W49" s="11" t="s">
        <v>7</v>
      </c>
      <c r="X49" s="10">
        <v>12</v>
      </c>
      <c r="Y49" s="10">
        <v>16</v>
      </c>
      <c r="Z49" s="10">
        <v>1.1399999999999999</v>
      </c>
      <c r="AA49" s="10">
        <v>11</v>
      </c>
      <c r="AB49" s="10">
        <v>1</v>
      </c>
      <c r="AC49" s="10">
        <v>0</v>
      </c>
      <c r="AD49" s="10">
        <v>0</v>
      </c>
      <c r="AE49" s="10">
        <v>0</v>
      </c>
      <c r="AF49" s="10">
        <v>0</v>
      </c>
      <c r="AG49" s="12">
        <f t="shared" si="5"/>
        <v>0</v>
      </c>
    </row>
    <row r="50" spans="1:33" x14ac:dyDescent="0.25">
      <c r="A50" s="9" t="s">
        <v>5</v>
      </c>
      <c r="B50" s="10">
        <v>18</v>
      </c>
      <c r="C50" s="10">
        <v>17.3</v>
      </c>
      <c r="D50" s="10">
        <v>1.3</v>
      </c>
      <c r="E50" s="10">
        <v>12</v>
      </c>
      <c r="F50" s="10">
        <v>5</v>
      </c>
      <c r="G50" s="10">
        <v>0</v>
      </c>
      <c r="H50" s="10">
        <v>1</v>
      </c>
      <c r="I50" s="10">
        <v>0</v>
      </c>
      <c r="J50" s="10">
        <v>0</v>
      </c>
      <c r="K50" s="26">
        <f t="shared" si="3"/>
        <v>1</v>
      </c>
      <c r="L50" s="9" t="s">
        <v>6</v>
      </c>
      <c r="M50" s="10">
        <v>18</v>
      </c>
      <c r="N50" s="25">
        <v>18.100000000000001</v>
      </c>
      <c r="O50" s="10">
        <v>1.43</v>
      </c>
      <c r="P50" s="10">
        <v>8</v>
      </c>
      <c r="Q50" s="10">
        <v>7</v>
      </c>
      <c r="R50" s="10">
        <v>0</v>
      </c>
      <c r="S50" s="10">
        <v>0</v>
      </c>
      <c r="T50" s="10">
        <v>2</v>
      </c>
      <c r="U50" s="10">
        <v>1</v>
      </c>
      <c r="V50" s="12">
        <f t="shared" si="4"/>
        <v>3</v>
      </c>
      <c r="W50" s="11" t="s">
        <v>7</v>
      </c>
      <c r="X50" s="10">
        <v>18</v>
      </c>
      <c r="Y50" s="10">
        <v>17.600000000000001</v>
      </c>
      <c r="Z50" s="10">
        <v>1.42</v>
      </c>
      <c r="AA50" s="10">
        <v>17</v>
      </c>
      <c r="AB50" s="10">
        <v>1</v>
      </c>
      <c r="AC50" s="10">
        <v>0</v>
      </c>
      <c r="AD50" s="10">
        <v>0</v>
      </c>
      <c r="AE50" s="10">
        <v>0</v>
      </c>
      <c r="AF50" s="10">
        <v>0</v>
      </c>
      <c r="AG50" s="12">
        <f t="shared" si="5"/>
        <v>0</v>
      </c>
    </row>
    <row r="51" spans="1:33" x14ac:dyDescent="0.25">
      <c r="A51" s="9" t="s">
        <v>5</v>
      </c>
      <c r="B51" s="10">
        <v>18</v>
      </c>
      <c r="C51" s="10">
        <v>19.600000000000001</v>
      </c>
      <c r="D51" s="10">
        <v>1.65</v>
      </c>
      <c r="E51" s="10">
        <v>18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26">
        <f t="shared" si="3"/>
        <v>0</v>
      </c>
      <c r="L51" s="9" t="s">
        <v>6</v>
      </c>
      <c r="M51" s="10">
        <v>18</v>
      </c>
      <c r="N51" s="10">
        <v>20.399999999999999</v>
      </c>
      <c r="O51" s="10">
        <v>1.83</v>
      </c>
      <c r="P51" s="10">
        <v>15</v>
      </c>
      <c r="Q51" s="10">
        <v>3</v>
      </c>
      <c r="R51" s="10">
        <v>0</v>
      </c>
      <c r="S51" s="10">
        <v>0</v>
      </c>
      <c r="T51" s="10">
        <v>0</v>
      </c>
      <c r="U51" s="10">
        <v>0</v>
      </c>
      <c r="V51" s="12">
        <f t="shared" si="4"/>
        <v>0</v>
      </c>
      <c r="W51" s="11" t="s">
        <v>7</v>
      </c>
      <c r="X51" s="10">
        <v>18</v>
      </c>
      <c r="Y51" s="13">
        <v>16.600000000000001</v>
      </c>
      <c r="Z51" s="13">
        <v>1.27</v>
      </c>
      <c r="AA51" s="10">
        <v>18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2">
        <f t="shared" si="5"/>
        <v>0</v>
      </c>
    </row>
    <row r="52" spans="1:33" x14ac:dyDescent="0.25">
      <c r="A52" s="9" t="s">
        <v>5</v>
      </c>
      <c r="B52" s="10">
        <v>18</v>
      </c>
      <c r="C52" s="10">
        <v>16.3</v>
      </c>
      <c r="D52" s="10">
        <v>0.98</v>
      </c>
      <c r="E52" s="10">
        <v>12</v>
      </c>
      <c r="F52" s="10">
        <v>4</v>
      </c>
      <c r="G52" s="10">
        <v>0</v>
      </c>
      <c r="H52" s="10">
        <v>1</v>
      </c>
      <c r="I52" s="10">
        <v>0</v>
      </c>
      <c r="J52" s="10">
        <v>1</v>
      </c>
      <c r="K52" s="26">
        <f t="shared" si="3"/>
        <v>2</v>
      </c>
      <c r="L52" s="9" t="s">
        <v>6</v>
      </c>
      <c r="M52" s="10">
        <v>18</v>
      </c>
      <c r="N52" s="10">
        <v>18.399999999999999</v>
      </c>
      <c r="O52" s="10">
        <v>1.58</v>
      </c>
      <c r="P52" s="10">
        <v>13</v>
      </c>
      <c r="Q52" s="10">
        <v>4</v>
      </c>
      <c r="R52" s="10">
        <v>0</v>
      </c>
      <c r="S52" s="10">
        <v>0</v>
      </c>
      <c r="T52" s="10">
        <v>0</v>
      </c>
      <c r="U52" s="10">
        <v>1</v>
      </c>
      <c r="V52" s="12">
        <f t="shared" si="4"/>
        <v>1</v>
      </c>
      <c r="W52" s="11" t="s">
        <v>7</v>
      </c>
      <c r="X52" s="10">
        <v>18</v>
      </c>
      <c r="Y52" s="10">
        <v>17.600000000000001</v>
      </c>
      <c r="Z52" s="14">
        <v>13881</v>
      </c>
      <c r="AA52" s="10">
        <v>14</v>
      </c>
      <c r="AB52" s="10">
        <v>4</v>
      </c>
      <c r="AC52" s="10">
        <v>0</v>
      </c>
      <c r="AD52" s="10">
        <v>0</v>
      </c>
      <c r="AE52" s="10">
        <v>0</v>
      </c>
      <c r="AF52" s="10">
        <v>0</v>
      </c>
      <c r="AG52" s="12">
        <f t="shared" si="5"/>
        <v>0</v>
      </c>
    </row>
    <row r="53" spans="1:33" x14ac:dyDescent="0.25">
      <c r="A53" s="9" t="s">
        <v>5</v>
      </c>
      <c r="B53" s="10">
        <v>18</v>
      </c>
      <c r="C53" s="10">
        <v>16</v>
      </c>
      <c r="D53" s="10">
        <v>1.04</v>
      </c>
      <c r="E53" s="10">
        <v>12</v>
      </c>
      <c r="F53" s="10">
        <v>5</v>
      </c>
      <c r="G53" s="10">
        <v>1</v>
      </c>
      <c r="H53" s="10">
        <v>0</v>
      </c>
      <c r="I53" s="10">
        <v>0</v>
      </c>
      <c r="J53" s="10">
        <v>0</v>
      </c>
      <c r="K53" s="26">
        <f t="shared" si="3"/>
        <v>1</v>
      </c>
      <c r="L53" s="9" t="s">
        <v>6</v>
      </c>
      <c r="M53" s="10">
        <v>18</v>
      </c>
      <c r="N53" s="10">
        <v>17.7</v>
      </c>
      <c r="O53" s="10">
        <v>1.37</v>
      </c>
      <c r="P53" s="10">
        <v>14</v>
      </c>
      <c r="Q53" s="10">
        <v>2</v>
      </c>
      <c r="R53" s="10">
        <v>1</v>
      </c>
      <c r="S53" s="10">
        <v>0</v>
      </c>
      <c r="T53" s="10">
        <v>0</v>
      </c>
      <c r="U53" s="10">
        <v>1</v>
      </c>
      <c r="V53" s="12">
        <f t="shared" si="4"/>
        <v>2</v>
      </c>
      <c r="W53" s="11" t="s">
        <v>7</v>
      </c>
      <c r="X53" s="10">
        <v>18</v>
      </c>
      <c r="Y53" s="10">
        <v>17.3</v>
      </c>
      <c r="Z53" s="10">
        <v>1.31</v>
      </c>
      <c r="AA53" s="10">
        <v>18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2">
        <f t="shared" si="5"/>
        <v>0</v>
      </c>
    </row>
    <row r="54" spans="1:33" x14ac:dyDescent="0.25">
      <c r="A54" s="9" t="s">
        <v>5</v>
      </c>
      <c r="B54" s="10">
        <v>18</v>
      </c>
      <c r="C54" s="10">
        <v>18.399999999999999</v>
      </c>
      <c r="D54" s="10">
        <v>1.46</v>
      </c>
      <c r="E54" s="10">
        <v>7</v>
      </c>
      <c r="F54" s="10">
        <v>11</v>
      </c>
      <c r="G54" s="10">
        <v>0</v>
      </c>
      <c r="H54" s="10">
        <v>0</v>
      </c>
      <c r="I54" s="10">
        <v>0</v>
      </c>
      <c r="J54" s="10">
        <v>0</v>
      </c>
      <c r="K54" s="26">
        <f t="shared" si="3"/>
        <v>0</v>
      </c>
      <c r="L54" s="9" t="s">
        <v>6</v>
      </c>
      <c r="M54" s="10">
        <v>18</v>
      </c>
      <c r="N54" s="10">
        <v>16.100000000000001</v>
      </c>
      <c r="O54" s="10">
        <v>0.96</v>
      </c>
      <c r="P54" s="10">
        <v>14</v>
      </c>
      <c r="Q54" s="10">
        <v>2</v>
      </c>
      <c r="R54" s="10">
        <v>0</v>
      </c>
      <c r="S54" s="10">
        <v>0</v>
      </c>
      <c r="T54" s="10">
        <v>0</v>
      </c>
      <c r="U54" s="10">
        <v>2</v>
      </c>
      <c r="V54" s="12">
        <f t="shared" si="4"/>
        <v>2</v>
      </c>
      <c r="W54" s="11" t="s">
        <v>7</v>
      </c>
      <c r="X54" s="10">
        <v>18</v>
      </c>
      <c r="Y54" s="25">
        <v>17.3</v>
      </c>
      <c r="Z54" s="10">
        <v>1.39</v>
      </c>
      <c r="AA54" s="10">
        <v>15</v>
      </c>
      <c r="AB54" s="10">
        <v>2</v>
      </c>
      <c r="AC54" s="10">
        <v>0</v>
      </c>
      <c r="AD54" s="10">
        <v>0</v>
      </c>
      <c r="AE54" s="10">
        <v>0</v>
      </c>
      <c r="AF54" s="10">
        <v>1</v>
      </c>
      <c r="AG54" s="12">
        <f t="shared" si="5"/>
        <v>1</v>
      </c>
    </row>
    <row r="55" spans="1:33" x14ac:dyDescent="0.25">
      <c r="A55" s="9" t="s">
        <v>5</v>
      </c>
      <c r="B55" s="10">
        <v>18</v>
      </c>
      <c r="C55" s="10">
        <v>17.600000000000001</v>
      </c>
      <c r="D55" s="10">
        <v>1.35</v>
      </c>
      <c r="E55" s="10">
        <v>12</v>
      </c>
      <c r="F55" s="10">
        <v>6</v>
      </c>
      <c r="G55" s="10">
        <v>0</v>
      </c>
      <c r="H55" s="10">
        <v>0</v>
      </c>
      <c r="I55" s="10">
        <v>0</v>
      </c>
      <c r="J55" s="10">
        <v>0</v>
      </c>
      <c r="K55" s="26">
        <f t="shared" si="3"/>
        <v>0</v>
      </c>
      <c r="L55" s="9" t="s">
        <v>6</v>
      </c>
      <c r="M55" s="10">
        <v>18</v>
      </c>
      <c r="N55" s="10">
        <v>17.899999999999999</v>
      </c>
      <c r="O55" s="10">
        <v>1.32</v>
      </c>
      <c r="P55" s="10">
        <v>18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2">
        <f t="shared" si="4"/>
        <v>0</v>
      </c>
      <c r="W55" s="11" t="s">
        <v>7</v>
      </c>
      <c r="X55" s="10">
        <v>18</v>
      </c>
      <c r="Y55" s="10">
        <v>17.399999999999999</v>
      </c>
      <c r="Z55" s="10">
        <v>1.39</v>
      </c>
      <c r="AA55" s="10">
        <v>16</v>
      </c>
      <c r="AB55" s="10">
        <v>1</v>
      </c>
      <c r="AC55" s="10">
        <v>0</v>
      </c>
      <c r="AD55" s="10">
        <v>0</v>
      </c>
      <c r="AE55" s="10">
        <v>0</v>
      </c>
      <c r="AF55" s="10">
        <v>1</v>
      </c>
      <c r="AG55" s="12">
        <f t="shared" si="5"/>
        <v>1</v>
      </c>
    </row>
    <row r="56" spans="1:33" x14ac:dyDescent="0.25">
      <c r="A56" s="9" t="s">
        <v>5</v>
      </c>
      <c r="B56" s="10">
        <v>18</v>
      </c>
      <c r="C56" s="10">
        <v>16.5</v>
      </c>
      <c r="D56" s="10">
        <v>1.1200000000000001</v>
      </c>
      <c r="E56" s="10">
        <v>10</v>
      </c>
      <c r="F56" s="10">
        <v>5</v>
      </c>
      <c r="G56" s="10">
        <v>1</v>
      </c>
      <c r="H56" s="10">
        <v>1</v>
      </c>
      <c r="I56" s="10">
        <v>0</v>
      </c>
      <c r="J56" s="10">
        <v>1</v>
      </c>
      <c r="K56" s="26">
        <f t="shared" si="3"/>
        <v>3</v>
      </c>
      <c r="L56" s="9" t="s">
        <v>6</v>
      </c>
      <c r="M56" s="10">
        <v>18</v>
      </c>
      <c r="N56" s="10">
        <v>19.899999999999999</v>
      </c>
      <c r="O56" s="10">
        <v>2</v>
      </c>
      <c r="P56" s="10">
        <v>7</v>
      </c>
      <c r="Q56" s="10">
        <v>11</v>
      </c>
      <c r="R56" s="10">
        <v>0</v>
      </c>
      <c r="S56" s="10">
        <v>0</v>
      </c>
      <c r="T56" s="10">
        <v>0</v>
      </c>
      <c r="U56" s="10">
        <v>0</v>
      </c>
      <c r="V56" s="12">
        <f t="shared" si="4"/>
        <v>0</v>
      </c>
      <c r="W56" s="11" t="s">
        <v>7</v>
      </c>
      <c r="X56" s="10">
        <v>18</v>
      </c>
      <c r="Y56" s="10">
        <v>17</v>
      </c>
      <c r="Z56" s="10">
        <v>1.21</v>
      </c>
      <c r="AA56" s="10">
        <v>16</v>
      </c>
      <c r="AB56" s="10">
        <v>2</v>
      </c>
      <c r="AC56" s="10">
        <v>0</v>
      </c>
      <c r="AD56" s="10">
        <v>0</v>
      </c>
      <c r="AE56" s="10">
        <v>0</v>
      </c>
      <c r="AF56" s="10">
        <v>0</v>
      </c>
      <c r="AG56" s="12">
        <f t="shared" si="5"/>
        <v>0</v>
      </c>
    </row>
    <row r="57" spans="1:33" x14ac:dyDescent="0.25">
      <c r="A57" s="9" t="s">
        <v>5</v>
      </c>
      <c r="B57" s="10">
        <v>18</v>
      </c>
      <c r="C57" s="10">
        <v>16.899999999999999</v>
      </c>
      <c r="D57" s="10">
        <v>1.1000000000000001</v>
      </c>
      <c r="E57" s="10">
        <v>11</v>
      </c>
      <c r="F57" s="10">
        <v>7</v>
      </c>
      <c r="G57" s="10">
        <v>0</v>
      </c>
      <c r="H57" s="10">
        <v>0</v>
      </c>
      <c r="I57" s="10">
        <v>0</v>
      </c>
      <c r="J57" s="10">
        <v>0</v>
      </c>
      <c r="K57" s="26">
        <f t="shared" si="3"/>
        <v>0</v>
      </c>
      <c r="L57" s="9" t="s">
        <v>6</v>
      </c>
      <c r="M57" s="10">
        <v>18</v>
      </c>
      <c r="N57" s="10">
        <v>19.899999999999999</v>
      </c>
      <c r="O57" s="10">
        <v>1.8</v>
      </c>
      <c r="P57" s="10">
        <v>13</v>
      </c>
      <c r="Q57" s="10">
        <v>5</v>
      </c>
      <c r="R57" s="10">
        <v>0</v>
      </c>
      <c r="S57" s="10">
        <v>0</v>
      </c>
      <c r="T57" s="10">
        <v>0</v>
      </c>
      <c r="U57" s="10">
        <v>0</v>
      </c>
      <c r="V57" s="12">
        <f t="shared" si="4"/>
        <v>0</v>
      </c>
      <c r="W57" s="11" t="s">
        <v>7</v>
      </c>
      <c r="X57" s="10">
        <v>18</v>
      </c>
      <c r="Y57" s="10">
        <v>17.8</v>
      </c>
      <c r="Z57" s="10">
        <v>1.53</v>
      </c>
      <c r="AA57" s="10">
        <v>15</v>
      </c>
      <c r="AB57" s="10">
        <v>2</v>
      </c>
      <c r="AC57" s="10">
        <v>1</v>
      </c>
      <c r="AD57" s="10">
        <v>0</v>
      </c>
      <c r="AE57" s="10">
        <v>0</v>
      </c>
      <c r="AF57" s="10">
        <v>0</v>
      </c>
      <c r="AG57" s="12">
        <f t="shared" si="5"/>
        <v>1</v>
      </c>
    </row>
    <row r="58" spans="1:33" x14ac:dyDescent="0.25">
      <c r="A58" s="9" t="s">
        <v>5</v>
      </c>
      <c r="B58" s="10">
        <v>18</v>
      </c>
      <c r="C58" s="10">
        <v>20.3</v>
      </c>
      <c r="D58" s="10">
        <v>1.71</v>
      </c>
      <c r="E58" s="10">
        <v>2</v>
      </c>
      <c r="F58" s="10">
        <v>15</v>
      </c>
      <c r="G58" s="10">
        <v>0</v>
      </c>
      <c r="H58" s="10">
        <v>0</v>
      </c>
      <c r="I58" s="10">
        <v>0</v>
      </c>
      <c r="J58" s="10">
        <v>1</v>
      </c>
      <c r="K58" s="26">
        <f t="shared" si="3"/>
        <v>1</v>
      </c>
      <c r="L58" s="9" t="s">
        <v>6</v>
      </c>
      <c r="M58" s="10">
        <v>18</v>
      </c>
      <c r="N58" s="10">
        <v>17.899999999999999</v>
      </c>
      <c r="O58" s="10">
        <v>1.23</v>
      </c>
      <c r="P58" s="10">
        <v>15</v>
      </c>
      <c r="Q58" s="10">
        <v>3</v>
      </c>
      <c r="R58" s="10">
        <v>0</v>
      </c>
      <c r="S58" s="10">
        <v>0</v>
      </c>
      <c r="T58" s="10">
        <v>0</v>
      </c>
      <c r="U58" s="10">
        <v>0</v>
      </c>
      <c r="V58" s="12">
        <f t="shared" si="4"/>
        <v>0</v>
      </c>
      <c r="W58" s="11" t="s">
        <v>7</v>
      </c>
      <c r="X58" s="10">
        <v>18</v>
      </c>
      <c r="Y58" s="10">
        <v>18.5</v>
      </c>
      <c r="Z58" s="10">
        <v>1.78</v>
      </c>
      <c r="AA58" s="10">
        <v>18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2">
        <f t="shared" si="5"/>
        <v>0</v>
      </c>
    </row>
    <row r="59" spans="1:33" x14ac:dyDescent="0.25">
      <c r="A59" s="9" t="s">
        <v>5</v>
      </c>
      <c r="B59" s="10">
        <v>18</v>
      </c>
      <c r="C59" s="10">
        <v>18</v>
      </c>
      <c r="D59" s="10">
        <v>1.3</v>
      </c>
      <c r="E59" s="10">
        <v>7</v>
      </c>
      <c r="F59" s="10">
        <v>11</v>
      </c>
      <c r="G59" s="10">
        <v>0</v>
      </c>
      <c r="H59" s="10">
        <v>0</v>
      </c>
      <c r="I59" s="10">
        <v>0</v>
      </c>
      <c r="J59" s="10">
        <v>0</v>
      </c>
      <c r="K59" s="26">
        <f t="shared" si="3"/>
        <v>0</v>
      </c>
      <c r="L59" s="9" t="s">
        <v>6</v>
      </c>
      <c r="M59" s="10">
        <v>18</v>
      </c>
      <c r="N59" s="10">
        <v>20.3</v>
      </c>
      <c r="O59" s="10">
        <v>1.79</v>
      </c>
      <c r="P59" s="10">
        <v>13</v>
      </c>
      <c r="Q59" s="10">
        <v>5</v>
      </c>
      <c r="R59" s="10">
        <v>0</v>
      </c>
      <c r="S59" s="10">
        <v>0</v>
      </c>
      <c r="T59" s="10">
        <v>0</v>
      </c>
      <c r="U59" s="10">
        <v>0</v>
      </c>
      <c r="V59" s="12">
        <f t="shared" si="4"/>
        <v>0</v>
      </c>
      <c r="W59" s="11" t="s">
        <v>7</v>
      </c>
      <c r="X59" s="10">
        <v>18</v>
      </c>
      <c r="Y59" s="10">
        <v>20.100000000000001</v>
      </c>
      <c r="Z59" s="10">
        <v>2.2999999999999998</v>
      </c>
      <c r="AA59" s="10">
        <v>17</v>
      </c>
      <c r="AB59" s="10">
        <v>0</v>
      </c>
      <c r="AC59" s="10">
        <v>0</v>
      </c>
      <c r="AD59" s="10">
        <v>0</v>
      </c>
      <c r="AE59" s="10">
        <v>0</v>
      </c>
      <c r="AF59" s="10">
        <v>1</v>
      </c>
      <c r="AG59" s="12">
        <f t="shared" si="5"/>
        <v>1</v>
      </c>
    </row>
    <row r="60" spans="1:33" x14ac:dyDescent="0.25">
      <c r="A60" s="9" t="s">
        <v>5</v>
      </c>
      <c r="B60" s="10">
        <v>18</v>
      </c>
      <c r="C60" s="10">
        <v>17.3</v>
      </c>
      <c r="D60" s="10">
        <v>1.29</v>
      </c>
      <c r="E60" s="10">
        <v>10</v>
      </c>
      <c r="F60" s="10">
        <v>8</v>
      </c>
      <c r="G60" s="10">
        <v>0</v>
      </c>
      <c r="H60" s="10">
        <v>0</v>
      </c>
      <c r="I60" s="10">
        <v>0</v>
      </c>
      <c r="J60" s="10">
        <v>0</v>
      </c>
      <c r="K60" s="26">
        <f t="shared" si="3"/>
        <v>0</v>
      </c>
      <c r="L60" s="9" t="s">
        <v>6</v>
      </c>
      <c r="M60" s="10">
        <v>18</v>
      </c>
      <c r="N60" s="10">
        <v>19.899999999999999</v>
      </c>
      <c r="O60" s="10">
        <v>1.82</v>
      </c>
      <c r="P60" s="10">
        <v>15</v>
      </c>
      <c r="Q60" s="10">
        <v>2</v>
      </c>
      <c r="R60" s="10">
        <v>0</v>
      </c>
      <c r="S60" s="10">
        <v>0</v>
      </c>
      <c r="T60" s="10">
        <v>0</v>
      </c>
      <c r="U60" s="10">
        <v>0</v>
      </c>
      <c r="V60" s="12">
        <f t="shared" si="4"/>
        <v>0</v>
      </c>
      <c r="W60" s="11" t="s">
        <v>7</v>
      </c>
      <c r="X60" s="10">
        <v>18</v>
      </c>
      <c r="Y60" s="10">
        <v>18.399999999999999</v>
      </c>
      <c r="Z60" s="10">
        <v>1.72</v>
      </c>
      <c r="AA60" s="10">
        <v>17</v>
      </c>
      <c r="AB60" s="10">
        <v>1</v>
      </c>
      <c r="AC60" s="10">
        <v>0</v>
      </c>
      <c r="AD60" s="10">
        <v>0</v>
      </c>
      <c r="AE60" s="10">
        <v>0</v>
      </c>
      <c r="AF60" s="10">
        <v>0</v>
      </c>
      <c r="AG60" s="12">
        <f t="shared" si="5"/>
        <v>0</v>
      </c>
    </row>
    <row r="61" spans="1:33" x14ac:dyDescent="0.25">
      <c r="A61" s="9" t="s">
        <v>5</v>
      </c>
      <c r="B61" s="10">
        <v>18</v>
      </c>
      <c r="C61" s="10">
        <v>16.8</v>
      </c>
      <c r="D61" s="10">
        <v>1.07</v>
      </c>
      <c r="E61" s="10">
        <v>7</v>
      </c>
      <c r="F61" s="10">
        <v>11</v>
      </c>
      <c r="G61" s="10">
        <v>0</v>
      </c>
      <c r="H61" s="10">
        <v>0</v>
      </c>
      <c r="I61" s="10">
        <v>0</v>
      </c>
      <c r="J61" s="10">
        <v>0</v>
      </c>
      <c r="K61" s="26">
        <f t="shared" si="3"/>
        <v>0</v>
      </c>
      <c r="L61" s="9" t="s">
        <v>6</v>
      </c>
      <c r="M61" s="10">
        <v>18</v>
      </c>
      <c r="N61" s="10">
        <v>18.600000000000001</v>
      </c>
      <c r="O61" s="10">
        <v>1.59</v>
      </c>
      <c r="P61" s="10">
        <v>16</v>
      </c>
      <c r="Q61" s="10">
        <v>2</v>
      </c>
      <c r="R61" s="10">
        <v>0</v>
      </c>
      <c r="S61" s="10">
        <v>0</v>
      </c>
      <c r="T61" s="10">
        <v>0</v>
      </c>
      <c r="U61" s="10">
        <v>0</v>
      </c>
      <c r="V61" s="12">
        <f t="shared" si="4"/>
        <v>0</v>
      </c>
      <c r="W61" s="11" t="s">
        <v>7</v>
      </c>
      <c r="X61" s="10">
        <v>18</v>
      </c>
      <c r="Y61" s="10">
        <v>15.9</v>
      </c>
      <c r="Z61" s="10">
        <v>1.39</v>
      </c>
      <c r="AA61" s="10">
        <v>18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2">
        <f t="shared" si="5"/>
        <v>0</v>
      </c>
    </row>
    <row r="62" spans="1:33" x14ac:dyDescent="0.25">
      <c r="A62" s="9" t="s">
        <v>5</v>
      </c>
      <c r="B62" s="10">
        <v>24</v>
      </c>
      <c r="C62" s="10">
        <v>17.8</v>
      </c>
      <c r="D62" s="10">
        <v>1.37</v>
      </c>
      <c r="E62" s="10">
        <v>20</v>
      </c>
      <c r="F62" s="10">
        <v>4</v>
      </c>
      <c r="G62" s="10">
        <v>0</v>
      </c>
      <c r="H62" s="10">
        <v>0</v>
      </c>
      <c r="I62" s="10">
        <v>0</v>
      </c>
      <c r="J62" s="10">
        <v>0</v>
      </c>
      <c r="K62" s="26">
        <f t="shared" si="3"/>
        <v>0</v>
      </c>
      <c r="L62" s="9" t="s">
        <v>6</v>
      </c>
      <c r="M62" s="10">
        <v>24</v>
      </c>
      <c r="N62" s="20">
        <v>20</v>
      </c>
      <c r="O62" s="20">
        <v>1.64</v>
      </c>
      <c r="P62" s="10">
        <v>17</v>
      </c>
      <c r="Q62" s="10">
        <v>8</v>
      </c>
      <c r="R62" s="10">
        <v>0</v>
      </c>
      <c r="S62" s="10">
        <v>0</v>
      </c>
      <c r="T62" s="10">
        <v>0</v>
      </c>
      <c r="U62" s="10">
        <v>0</v>
      </c>
      <c r="V62" s="12">
        <f t="shared" si="4"/>
        <v>0</v>
      </c>
      <c r="W62" s="11" t="s">
        <v>7</v>
      </c>
      <c r="X62" s="10">
        <v>24</v>
      </c>
      <c r="Y62" s="10">
        <v>16.8</v>
      </c>
      <c r="Z62" s="10">
        <v>1.34</v>
      </c>
      <c r="AA62" s="10">
        <v>22</v>
      </c>
      <c r="AB62" s="10">
        <v>2</v>
      </c>
      <c r="AC62" s="10">
        <v>0</v>
      </c>
      <c r="AD62" s="10">
        <v>0</v>
      </c>
      <c r="AE62" s="10">
        <v>0</v>
      </c>
      <c r="AF62" s="10">
        <v>0</v>
      </c>
      <c r="AG62" s="12">
        <f t="shared" si="5"/>
        <v>0</v>
      </c>
    </row>
    <row r="63" spans="1:33" x14ac:dyDescent="0.25">
      <c r="A63" s="9" t="s">
        <v>5</v>
      </c>
      <c r="B63" s="10">
        <v>24</v>
      </c>
      <c r="C63" s="10">
        <v>18.2</v>
      </c>
      <c r="D63" s="10">
        <v>1.28</v>
      </c>
      <c r="E63" s="10">
        <v>16</v>
      </c>
      <c r="F63" s="10">
        <v>8</v>
      </c>
      <c r="G63" s="10">
        <v>0</v>
      </c>
      <c r="H63" s="10">
        <v>0</v>
      </c>
      <c r="I63" s="10">
        <v>0</v>
      </c>
      <c r="J63" s="10">
        <v>0</v>
      </c>
      <c r="K63" s="26">
        <f t="shared" si="3"/>
        <v>0</v>
      </c>
      <c r="L63" s="9" t="s">
        <v>6</v>
      </c>
      <c r="M63" s="10">
        <v>24</v>
      </c>
      <c r="N63" s="10">
        <v>17</v>
      </c>
      <c r="O63" s="10">
        <v>1.05</v>
      </c>
      <c r="P63" s="10">
        <v>22</v>
      </c>
      <c r="Q63" s="10">
        <v>2</v>
      </c>
      <c r="R63" s="10">
        <v>0</v>
      </c>
      <c r="S63" s="10">
        <v>0</v>
      </c>
      <c r="T63" s="10">
        <v>0</v>
      </c>
      <c r="U63" s="10">
        <v>0</v>
      </c>
      <c r="V63" s="12">
        <f t="shared" si="4"/>
        <v>0</v>
      </c>
      <c r="W63" s="11" t="s">
        <v>7</v>
      </c>
      <c r="X63" s="10">
        <v>24</v>
      </c>
      <c r="Y63" s="13">
        <v>17.5</v>
      </c>
      <c r="Z63" s="13">
        <v>1.4</v>
      </c>
      <c r="AA63" s="10">
        <v>21</v>
      </c>
      <c r="AB63" s="10">
        <v>2</v>
      </c>
      <c r="AC63" s="10">
        <v>0</v>
      </c>
      <c r="AD63" s="10">
        <v>0</v>
      </c>
      <c r="AE63" s="10">
        <v>1</v>
      </c>
      <c r="AF63" s="10">
        <v>0</v>
      </c>
      <c r="AG63" s="12">
        <f t="shared" si="5"/>
        <v>1</v>
      </c>
    </row>
    <row r="64" spans="1:33" x14ac:dyDescent="0.25">
      <c r="A64" s="9" t="s">
        <v>5</v>
      </c>
      <c r="B64" s="10">
        <v>24</v>
      </c>
      <c r="C64" s="10">
        <v>16.5</v>
      </c>
      <c r="D64" s="10">
        <v>1.02</v>
      </c>
      <c r="E64" s="10">
        <v>18</v>
      </c>
      <c r="F64" s="10">
        <v>6</v>
      </c>
      <c r="G64" s="10">
        <v>0</v>
      </c>
      <c r="H64" s="10">
        <v>0</v>
      </c>
      <c r="I64" s="10">
        <v>0</v>
      </c>
      <c r="J64" s="10">
        <v>0</v>
      </c>
      <c r="K64" s="26">
        <f t="shared" si="3"/>
        <v>0</v>
      </c>
      <c r="L64" s="9" t="s">
        <v>6</v>
      </c>
      <c r="M64" s="10">
        <v>24</v>
      </c>
      <c r="N64" s="10">
        <v>20.7</v>
      </c>
      <c r="O64" s="10">
        <v>1.92</v>
      </c>
      <c r="P64" s="10">
        <v>16</v>
      </c>
      <c r="Q64" s="10">
        <v>4</v>
      </c>
      <c r="R64" s="10">
        <v>1</v>
      </c>
      <c r="S64" s="10">
        <v>2</v>
      </c>
      <c r="T64" s="10">
        <v>1</v>
      </c>
      <c r="U64" s="10">
        <v>0</v>
      </c>
      <c r="V64" s="12">
        <f t="shared" si="4"/>
        <v>4</v>
      </c>
      <c r="W64" s="11" t="s">
        <v>7</v>
      </c>
      <c r="X64" s="10">
        <v>24</v>
      </c>
      <c r="Y64" s="10">
        <v>16.5</v>
      </c>
      <c r="Z64" s="10">
        <v>1.07</v>
      </c>
      <c r="AA64" s="10">
        <v>22</v>
      </c>
      <c r="AB64" s="10">
        <v>1</v>
      </c>
      <c r="AC64" s="10">
        <v>0</v>
      </c>
      <c r="AD64" s="10">
        <v>0</v>
      </c>
      <c r="AE64" s="10">
        <v>0</v>
      </c>
      <c r="AF64" s="10">
        <v>1</v>
      </c>
      <c r="AG64" s="12">
        <f t="shared" si="5"/>
        <v>1</v>
      </c>
    </row>
    <row r="65" spans="1:33" x14ac:dyDescent="0.25">
      <c r="A65" s="9" t="s">
        <v>5</v>
      </c>
      <c r="B65" s="10">
        <v>24</v>
      </c>
      <c r="C65" s="10">
        <v>16.8</v>
      </c>
      <c r="D65" s="10">
        <v>1.1000000000000001</v>
      </c>
      <c r="E65" s="10">
        <v>17</v>
      </c>
      <c r="F65" s="10">
        <v>7</v>
      </c>
      <c r="G65" s="10">
        <v>0</v>
      </c>
      <c r="H65" s="10">
        <v>0</v>
      </c>
      <c r="I65" s="10">
        <v>0</v>
      </c>
      <c r="J65" s="10">
        <v>0</v>
      </c>
      <c r="K65" s="26">
        <f t="shared" si="3"/>
        <v>0</v>
      </c>
      <c r="L65" s="9" t="s">
        <v>6</v>
      </c>
      <c r="M65" s="10">
        <v>24</v>
      </c>
      <c r="N65" s="10">
        <v>18.5</v>
      </c>
      <c r="O65" s="10">
        <v>1.56</v>
      </c>
      <c r="P65" s="10">
        <v>17</v>
      </c>
      <c r="Q65" s="10">
        <v>4</v>
      </c>
      <c r="R65" s="10">
        <v>0</v>
      </c>
      <c r="S65" s="10">
        <v>0</v>
      </c>
      <c r="T65" s="10">
        <v>0</v>
      </c>
      <c r="U65" s="10">
        <v>3</v>
      </c>
      <c r="V65" s="12">
        <f t="shared" si="4"/>
        <v>3</v>
      </c>
      <c r="W65" s="11" t="s">
        <v>7</v>
      </c>
      <c r="X65" s="10">
        <v>24</v>
      </c>
      <c r="Y65" s="10">
        <v>17.5</v>
      </c>
      <c r="Z65" s="10">
        <v>1.27</v>
      </c>
      <c r="AA65" s="10">
        <v>22</v>
      </c>
      <c r="AB65" s="10">
        <v>2</v>
      </c>
      <c r="AC65" s="10">
        <v>0</v>
      </c>
      <c r="AD65" s="10">
        <v>0</v>
      </c>
      <c r="AE65" s="10">
        <v>0</v>
      </c>
      <c r="AF65" s="10">
        <v>0</v>
      </c>
      <c r="AG65" s="12">
        <f t="shared" si="5"/>
        <v>0</v>
      </c>
    </row>
    <row r="66" spans="1:33" x14ac:dyDescent="0.25">
      <c r="A66" s="9" t="s">
        <v>5</v>
      </c>
      <c r="B66" s="10">
        <v>24</v>
      </c>
      <c r="C66" s="10">
        <v>19.8</v>
      </c>
      <c r="D66" s="10">
        <v>1.49</v>
      </c>
      <c r="E66" s="10">
        <v>17</v>
      </c>
      <c r="F66" s="10">
        <v>7</v>
      </c>
      <c r="G66" s="10">
        <v>0</v>
      </c>
      <c r="H66" s="10">
        <v>0</v>
      </c>
      <c r="I66" s="10">
        <v>0</v>
      </c>
      <c r="J66" s="10">
        <v>0</v>
      </c>
      <c r="K66" s="26">
        <f t="shared" ref="K66:K73" si="6">SUM(G66:J66)</f>
        <v>0</v>
      </c>
      <c r="L66" s="9" t="s">
        <v>6</v>
      </c>
      <c r="M66" s="10">
        <v>24</v>
      </c>
      <c r="N66" s="10">
        <v>19.2</v>
      </c>
      <c r="O66" s="10">
        <v>1.73</v>
      </c>
      <c r="P66" s="10">
        <v>18</v>
      </c>
      <c r="Q66" s="10">
        <v>4</v>
      </c>
      <c r="R66" s="10">
        <v>0</v>
      </c>
      <c r="S66" s="10">
        <v>1</v>
      </c>
      <c r="T66" s="10">
        <v>0</v>
      </c>
      <c r="U66" s="10">
        <v>1</v>
      </c>
      <c r="V66" s="12">
        <f t="shared" ref="V66:V73" si="7">SUM(R66:U66)</f>
        <v>2</v>
      </c>
      <c r="W66" s="11" t="s">
        <v>7</v>
      </c>
      <c r="X66" s="10">
        <v>24</v>
      </c>
      <c r="Y66" s="10">
        <v>17.399999999999999</v>
      </c>
      <c r="Z66" s="10">
        <v>1.46</v>
      </c>
      <c r="AA66" s="10">
        <v>22</v>
      </c>
      <c r="AB66" s="10">
        <v>1</v>
      </c>
      <c r="AC66" s="10">
        <v>0</v>
      </c>
      <c r="AD66" s="10">
        <v>0</v>
      </c>
      <c r="AE66" s="10">
        <v>0</v>
      </c>
      <c r="AF66" s="10">
        <v>1</v>
      </c>
      <c r="AG66" s="12">
        <f t="shared" ref="AG66:AG73" si="8">SUM(AC66:AF66)</f>
        <v>1</v>
      </c>
    </row>
    <row r="67" spans="1:33" x14ac:dyDescent="0.25">
      <c r="A67" s="9" t="s">
        <v>5</v>
      </c>
      <c r="B67" s="10">
        <v>24</v>
      </c>
      <c r="C67" s="10">
        <v>16.5</v>
      </c>
      <c r="D67" s="10">
        <v>1.08</v>
      </c>
      <c r="E67" s="10">
        <v>19</v>
      </c>
      <c r="F67" s="10">
        <v>5</v>
      </c>
      <c r="G67" s="10">
        <v>0</v>
      </c>
      <c r="H67" s="10">
        <v>0</v>
      </c>
      <c r="I67" s="10">
        <v>0</v>
      </c>
      <c r="J67" s="10">
        <v>0</v>
      </c>
      <c r="K67" s="26">
        <f t="shared" si="6"/>
        <v>0</v>
      </c>
      <c r="L67" s="9" t="s">
        <v>6</v>
      </c>
      <c r="M67" s="10">
        <v>24</v>
      </c>
      <c r="N67" s="10">
        <v>17.600000000000001</v>
      </c>
      <c r="O67" s="10">
        <v>1.22</v>
      </c>
      <c r="P67" s="10">
        <v>23</v>
      </c>
      <c r="Q67" s="10">
        <v>0</v>
      </c>
      <c r="R67" s="10">
        <v>0</v>
      </c>
      <c r="S67" s="10">
        <v>0</v>
      </c>
      <c r="T67" s="10">
        <v>0</v>
      </c>
      <c r="U67" s="10">
        <v>1</v>
      </c>
      <c r="V67" s="12">
        <f t="shared" si="7"/>
        <v>1</v>
      </c>
      <c r="W67" s="11" t="s">
        <v>7</v>
      </c>
      <c r="X67" s="10">
        <v>24</v>
      </c>
      <c r="Y67" s="10">
        <v>15.7</v>
      </c>
      <c r="Z67" s="10">
        <v>1.04</v>
      </c>
      <c r="AA67" s="10">
        <v>23</v>
      </c>
      <c r="AB67" s="10">
        <v>0</v>
      </c>
      <c r="AC67" s="10">
        <v>0</v>
      </c>
      <c r="AD67" s="10">
        <v>0</v>
      </c>
      <c r="AE67" s="10">
        <v>0</v>
      </c>
      <c r="AF67" s="10">
        <v>1</v>
      </c>
      <c r="AG67" s="12">
        <f t="shared" si="8"/>
        <v>1</v>
      </c>
    </row>
    <row r="68" spans="1:33" x14ac:dyDescent="0.25">
      <c r="A68" s="9" t="s">
        <v>5</v>
      </c>
      <c r="B68" s="10">
        <v>24</v>
      </c>
      <c r="C68" s="10">
        <v>17</v>
      </c>
      <c r="D68" s="10">
        <v>1.08</v>
      </c>
      <c r="E68" s="10">
        <v>18</v>
      </c>
      <c r="F68" s="10">
        <v>6</v>
      </c>
      <c r="G68" s="10">
        <v>0</v>
      </c>
      <c r="H68" s="10">
        <v>0</v>
      </c>
      <c r="I68" s="10">
        <v>0</v>
      </c>
      <c r="J68" s="10">
        <v>0</v>
      </c>
      <c r="K68" s="26">
        <f t="shared" si="6"/>
        <v>0</v>
      </c>
      <c r="L68" s="9" t="s">
        <v>6</v>
      </c>
      <c r="M68" s="10">
        <v>24</v>
      </c>
      <c r="N68" s="10">
        <v>20.6</v>
      </c>
      <c r="O68" s="10">
        <v>1.83</v>
      </c>
      <c r="P68" s="10">
        <v>18</v>
      </c>
      <c r="Q68" s="10">
        <v>6</v>
      </c>
      <c r="R68" s="10">
        <v>0</v>
      </c>
      <c r="S68" s="10">
        <v>0</v>
      </c>
      <c r="T68" s="10">
        <v>0</v>
      </c>
      <c r="U68" s="10">
        <v>0</v>
      </c>
      <c r="V68" s="12">
        <f t="shared" si="7"/>
        <v>0</v>
      </c>
      <c r="W68" s="11" t="s">
        <v>7</v>
      </c>
      <c r="X68" s="10">
        <v>24</v>
      </c>
      <c r="Y68" s="10">
        <v>16.100000000000001</v>
      </c>
      <c r="Z68" s="10">
        <v>1.0900000000000001</v>
      </c>
      <c r="AA68" s="10">
        <v>24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2">
        <f t="shared" si="8"/>
        <v>0</v>
      </c>
    </row>
    <row r="69" spans="1:33" x14ac:dyDescent="0.25">
      <c r="A69" s="9" t="s">
        <v>5</v>
      </c>
      <c r="B69" s="10">
        <v>24</v>
      </c>
      <c r="C69" s="10">
        <v>20</v>
      </c>
      <c r="D69" s="10">
        <v>1.49</v>
      </c>
      <c r="E69" s="10">
        <v>18</v>
      </c>
      <c r="F69" s="10">
        <v>6</v>
      </c>
      <c r="G69" s="10">
        <v>0</v>
      </c>
      <c r="H69" s="10">
        <v>0</v>
      </c>
      <c r="I69" s="10">
        <v>0</v>
      </c>
      <c r="J69" s="10">
        <v>0</v>
      </c>
      <c r="K69" s="26">
        <f t="shared" si="6"/>
        <v>0</v>
      </c>
      <c r="L69" s="9" t="s">
        <v>6</v>
      </c>
      <c r="M69" s="10">
        <v>24</v>
      </c>
      <c r="N69" s="10">
        <v>16.7</v>
      </c>
      <c r="O69" s="10">
        <v>1.5</v>
      </c>
      <c r="P69" s="10">
        <v>21</v>
      </c>
      <c r="Q69" s="10">
        <v>3</v>
      </c>
      <c r="R69" s="10">
        <v>0</v>
      </c>
      <c r="S69" s="10">
        <v>0</v>
      </c>
      <c r="T69" s="10">
        <v>0</v>
      </c>
      <c r="U69" s="10">
        <v>0</v>
      </c>
      <c r="V69" s="12">
        <f t="shared" si="7"/>
        <v>0</v>
      </c>
      <c r="W69" s="11" t="s">
        <v>7</v>
      </c>
      <c r="X69" s="10">
        <v>24</v>
      </c>
      <c r="Y69" s="10">
        <v>18.3</v>
      </c>
      <c r="Z69" s="10">
        <v>1.58</v>
      </c>
      <c r="AA69" s="10">
        <v>21</v>
      </c>
      <c r="AB69" s="10">
        <v>2</v>
      </c>
      <c r="AC69" s="10">
        <v>0</v>
      </c>
      <c r="AD69" s="10">
        <v>0</v>
      </c>
      <c r="AE69" s="10">
        <v>1</v>
      </c>
      <c r="AF69" s="10">
        <v>0</v>
      </c>
      <c r="AG69" s="12">
        <f t="shared" si="8"/>
        <v>1</v>
      </c>
    </row>
    <row r="70" spans="1:33" x14ac:dyDescent="0.25">
      <c r="A70" s="9" t="s">
        <v>5</v>
      </c>
      <c r="B70" s="10">
        <v>24</v>
      </c>
      <c r="C70" s="10">
        <v>18.100000000000001</v>
      </c>
      <c r="D70" s="10">
        <v>1.33</v>
      </c>
      <c r="E70" s="10">
        <v>13</v>
      </c>
      <c r="F70" s="10">
        <v>11</v>
      </c>
      <c r="G70" s="10">
        <v>0</v>
      </c>
      <c r="H70" s="10">
        <v>0</v>
      </c>
      <c r="I70" s="10">
        <v>0</v>
      </c>
      <c r="J70" s="10">
        <v>0</v>
      </c>
      <c r="K70" s="26">
        <f t="shared" si="6"/>
        <v>0</v>
      </c>
      <c r="L70" s="9" t="s">
        <v>6</v>
      </c>
      <c r="M70" s="10">
        <v>24</v>
      </c>
      <c r="N70" s="10">
        <v>17.5</v>
      </c>
      <c r="O70" s="10">
        <v>1.33</v>
      </c>
      <c r="P70" s="10">
        <v>20</v>
      </c>
      <c r="Q70" s="10">
        <v>2</v>
      </c>
      <c r="R70" s="10">
        <v>0</v>
      </c>
      <c r="S70" s="10">
        <v>1</v>
      </c>
      <c r="T70" s="10">
        <v>0</v>
      </c>
      <c r="U70" s="10">
        <v>1</v>
      </c>
      <c r="V70" s="12">
        <f t="shared" si="7"/>
        <v>2</v>
      </c>
      <c r="W70" s="11" t="s">
        <v>7</v>
      </c>
      <c r="X70" s="10">
        <v>24</v>
      </c>
      <c r="Y70" s="10">
        <v>16.100000000000001</v>
      </c>
      <c r="Z70" s="10">
        <v>1.2</v>
      </c>
      <c r="AA70" s="10">
        <v>21</v>
      </c>
      <c r="AB70" s="10">
        <v>3</v>
      </c>
      <c r="AC70" s="10">
        <v>0</v>
      </c>
      <c r="AD70" s="10">
        <v>0</v>
      </c>
      <c r="AE70" s="10">
        <v>0</v>
      </c>
      <c r="AF70" s="10">
        <v>0</v>
      </c>
      <c r="AG70" s="12">
        <f t="shared" si="8"/>
        <v>0</v>
      </c>
    </row>
    <row r="71" spans="1:33" x14ac:dyDescent="0.25">
      <c r="A71" s="9" t="s">
        <v>5</v>
      </c>
      <c r="B71" s="10">
        <v>24</v>
      </c>
      <c r="C71" s="10">
        <v>18.100000000000001</v>
      </c>
      <c r="D71" s="10">
        <v>1.39</v>
      </c>
      <c r="E71" s="10">
        <v>18</v>
      </c>
      <c r="F71" s="10">
        <v>5</v>
      </c>
      <c r="G71" s="10">
        <v>0</v>
      </c>
      <c r="H71" s="10">
        <v>0</v>
      </c>
      <c r="I71" s="10">
        <v>0</v>
      </c>
      <c r="J71" s="10">
        <v>0</v>
      </c>
      <c r="K71" s="26">
        <f t="shared" si="6"/>
        <v>0</v>
      </c>
      <c r="L71" s="9" t="s">
        <v>6</v>
      </c>
      <c r="M71" s="10">
        <v>24</v>
      </c>
      <c r="N71" s="10">
        <v>17.7</v>
      </c>
      <c r="O71" s="10">
        <v>1.38</v>
      </c>
      <c r="P71" s="10">
        <v>12</v>
      </c>
      <c r="Q71" s="10">
        <v>8</v>
      </c>
      <c r="R71" s="10">
        <v>2</v>
      </c>
      <c r="S71" s="10">
        <v>0</v>
      </c>
      <c r="T71" s="10">
        <v>1</v>
      </c>
      <c r="U71" s="10">
        <v>1</v>
      </c>
      <c r="V71" s="12">
        <f t="shared" si="7"/>
        <v>4</v>
      </c>
      <c r="W71" s="11" t="s">
        <v>7</v>
      </c>
      <c r="X71" s="10">
        <v>24</v>
      </c>
      <c r="Y71" s="10">
        <v>17.899999999999999</v>
      </c>
      <c r="Z71" s="10">
        <v>1.6</v>
      </c>
      <c r="AA71" s="10">
        <v>23</v>
      </c>
      <c r="AB71" s="10">
        <v>1</v>
      </c>
      <c r="AC71" s="10">
        <v>0</v>
      </c>
      <c r="AD71" s="10">
        <v>0</v>
      </c>
      <c r="AE71" s="10">
        <v>0</v>
      </c>
      <c r="AF71" s="10">
        <v>1</v>
      </c>
      <c r="AG71" s="12">
        <f t="shared" si="8"/>
        <v>1</v>
      </c>
    </row>
    <row r="72" spans="1:33" x14ac:dyDescent="0.25">
      <c r="A72" s="9" t="s">
        <v>5</v>
      </c>
      <c r="B72" s="10">
        <v>24</v>
      </c>
      <c r="C72" s="10">
        <v>18.2</v>
      </c>
      <c r="D72" s="10">
        <v>1.44</v>
      </c>
      <c r="E72" s="10">
        <v>22</v>
      </c>
      <c r="F72" s="10">
        <v>2</v>
      </c>
      <c r="G72" s="10">
        <v>0</v>
      </c>
      <c r="H72" s="10">
        <v>0</v>
      </c>
      <c r="I72" s="10">
        <v>0</v>
      </c>
      <c r="J72" s="10">
        <v>0</v>
      </c>
      <c r="K72" s="26">
        <f t="shared" si="6"/>
        <v>0</v>
      </c>
      <c r="L72" s="9" t="s">
        <v>6</v>
      </c>
      <c r="M72" s="10">
        <v>24</v>
      </c>
      <c r="N72" s="10">
        <v>18.2</v>
      </c>
      <c r="O72" s="10">
        <v>1.4</v>
      </c>
      <c r="P72" s="10">
        <v>21</v>
      </c>
      <c r="Q72" s="10">
        <v>3</v>
      </c>
      <c r="R72" s="10">
        <v>0</v>
      </c>
      <c r="S72" s="10">
        <v>0</v>
      </c>
      <c r="T72" s="10">
        <v>0</v>
      </c>
      <c r="U72" s="10">
        <v>0</v>
      </c>
      <c r="V72" s="12">
        <f t="shared" si="7"/>
        <v>0</v>
      </c>
      <c r="W72" s="11" t="s">
        <v>7</v>
      </c>
      <c r="X72" s="10">
        <v>24</v>
      </c>
      <c r="Y72" s="10">
        <v>17.600000000000001</v>
      </c>
      <c r="Z72" s="10">
        <v>1.5</v>
      </c>
      <c r="AA72" s="10">
        <v>22</v>
      </c>
      <c r="AB72" s="10">
        <v>2</v>
      </c>
      <c r="AC72" s="10">
        <v>0</v>
      </c>
      <c r="AD72" s="10">
        <v>0</v>
      </c>
      <c r="AE72" s="10">
        <v>0</v>
      </c>
      <c r="AF72" s="10">
        <v>0</v>
      </c>
      <c r="AG72" s="12">
        <f t="shared" si="8"/>
        <v>0</v>
      </c>
    </row>
    <row r="73" spans="1:33" ht="15.75" thickBot="1" x14ac:dyDescent="0.3">
      <c r="A73" s="15" t="s">
        <v>5</v>
      </c>
      <c r="B73" s="16">
        <v>24</v>
      </c>
      <c r="C73" s="16">
        <v>16.399999999999999</v>
      </c>
      <c r="D73" s="16">
        <v>1.06</v>
      </c>
      <c r="E73" s="16">
        <v>17</v>
      </c>
      <c r="F73" s="16">
        <v>7</v>
      </c>
      <c r="G73" s="16">
        <v>0</v>
      </c>
      <c r="H73" s="16">
        <v>0</v>
      </c>
      <c r="I73" s="16">
        <v>0</v>
      </c>
      <c r="J73" s="16">
        <v>0</v>
      </c>
      <c r="K73" s="27">
        <f t="shared" si="6"/>
        <v>0</v>
      </c>
      <c r="L73" s="15" t="s">
        <v>6</v>
      </c>
      <c r="M73" s="16">
        <v>24</v>
      </c>
      <c r="N73" s="16">
        <v>16.399999999999999</v>
      </c>
      <c r="O73" s="16">
        <v>1.1599999999999999</v>
      </c>
      <c r="P73" s="16">
        <v>18</v>
      </c>
      <c r="Q73" s="16">
        <v>3</v>
      </c>
      <c r="R73" s="16">
        <v>0</v>
      </c>
      <c r="S73" s="16">
        <v>0</v>
      </c>
      <c r="T73" s="16">
        <v>0</v>
      </c>
      <c r="U73" s="16">
        <v>0</v>
      </c>
      <c r="V73" s="18">
        <f t="shared" si="7"/>
        <v>0</v>
      </c>
      <c r="W73" s="17" t="s">
        <v>7</v>
      </c>
      <c r="X73" s="16">
        <v>24</v>
      </c>
      <c r="Y73" s="16">
        <v>16.5</v>
      </c>
      <c r="Z73" s="16">
        <v>1.1299999999999999</v>
      </c>
      <c r="AA73" s="16">
        <v>24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8">
        <f t="shared" si="8"/>
        <v>0</v>
      </c>
    </row>
    <row r="74" spans="1:33" x14ac:dyDescent="0.25">
      <c r="L74" s="4"/>
      <c r="V74" s="4"/>
    </row>
    <row r="75" spans="1:33" x14ac:dyDescent="0.25">
      <c r="L75" s="4"/>
      <c r="V75" s="4"/>
    </row>
    <row r="76" spans="1:33" x14ac:dyDescent="0.25">
      <c r="L76" s="4"/>
      <c r="V76" s="4"/>
    </row>
    <row r="77" spans="1:33" x14ac:dyDescent="0.25">
      <c r="L77" s="4"/>
      <c r="V77" s="4"/>
    </row>
    <row r="78" spans="1:33" x14ac:dyDescent="0.25">
      <c r="L78" s="4"/>
      <c r="V78" s="4"/>
    </row>
    <row r="79" spans="1:33" x14ac:dyDescent="0.25">
      <c r="L79" s="4"/>
      <c r="V79" s="4"/>
    </row>
    <row r="80" spans="1:33" x14ac:dyDescent="0.25">
      <c r="L80" s="4"/>
      <c r="V80" s="4"/>
    </row>
    <row r="81" spans="12:22" x14ac:dyDescent="0.25">
      <c r="L81" s="4"/>
      <c r="V81" s="4"/>
    </row>
    <row r="82" spans="12:22" x14ac:dyDescent="0.25">
      <c r="L82" s="4"/>
      <c r="V82" s="4"/>
    </row>
    <row r="83" spans="12:22" x14ac:dyDescent="0.25">
      <c r="L83" s="4"/>
      <c r="V83" s="4"/>
    </row>
    <row r="84" spans="12:22" x14ac:dyDescent="0.25">
      <c r="L84" s="4"/>
      <c r="V84" s="4"/>
    </row>
    <row r="85" spans="12:22" x14ac:dyDescent="0.25">
      <c r="L85" s="4"/>
      <c r="V85" s="4"/>
    </row>
    <row r="86" spans="12:22" x14ac:dyDescent="0.25">
      <c r="L86" s="4"/>
      <c r="V86" s="4"/>
    </row>
    <row r="87" spans="12:22" x14ac:dyDescent="0.25">
      <c r="L87" s="4"/>
      <c r="V87" s="4"/>
    </row>
    <row r="88" spans="12:22" x14ac:dyDescent="0.25">
      <c r="L88" s="4"/>
      <c r="V88" s="4"/>
    </row>
    <row r="89" spans="12:22" x14ac:dyDescent="0.25">
      <c r="L89" s="4"/>
      <c r="V89" s="4"/>
    </row>
    <row r="90" spans="12:22" x14ac:dyDescent="0.25">
      <c r="L90" s="4"/>
      <c r="V90" s="4"/>
    </row>
    <row r="91" spans="12:22" x14ac:dyDescent="0.25">
      <c r="L91" s="4"/>
      <c r="V91" s="4"/>
    </row>
    <row r="92" spans="12:22" x14ac:dyDescent="0.25">
      <c r="L92" s="4"/>
      <c r="V92" s="4"/>
    </row>
    <row r="93" spans="12:22" x14ac:dyDescent="0.25">
      <c r="L93" s="4"/>
      <c r="V93" s="4"/>
    </row>
    <row r="94" spans="12:22" x14ac:dyDescent="0.25">
      <c r="L94" s="4"/>
      <c r="V94" s="4"/>
    </row>
    <row r="95" spans="12:22" x14ac:dyDescent="0.25">
      <c r="L95" s="4"/>
      <c r="V95" s="4"/>
    </row>
    <row r="96" spans="12:22" x14ac:dyDescent="0.25">
      <c r="L96" s="4"/>
      <c r="V96" s="4"/>
    </row>
    <row r="97" spans="12:22" x14ac:dyDescent="0.25">
      <c r="L97" s="4"/>
      <c r="V97" s="4"/>
    </row>
    <row r="98" spans="12:22" x14ac:dyDescent="0.25">
      <c r="L98" s="4"/>
      <c r="V98" s="4"/>
    </row>
    <row r="99" spans="12:22" x14ac:dyDescent="0.25">
      <c r="L99" s="4"/>
      <c r="V99" s="4"/>
    </row>
    <row r="100" spans="12:22" x14ac:dyDescent="0.25">
      <c r="L100" s="4"/>
      <c r="V100" s="4"/>
    </row>
    <row r="101" spans="12:22" x14ac:dyDescent="0.25">
      <c r="L101" s="4"/>
      <c r="V101" s="4"/>
    </row>
    <row r="102" spans="12:22" x14ac:dyDescent="0.25">
      <c r="L102" s="4"/>
      <c r="V102" s="4"/>
    </row>
    <row r="103" spans="12:22" x14ac:dyDescent="0.25">
      <c r="L103" s="4"/>
      <c r="V103" s="4"/>
    </row>
    <row r="104" spans="12:22" x14ac:dyDescent="0.25">
      <c r="L104" s="4"/>
      <c r="V104" s="4"/>
    </row>
    <row r="105" spans="12:22" x14ac:dyDescent="0.25">
      <c r="L105" s="4"/>
      <c r="V105" s="4"/>
    </row>
    <row r="106" spans="12:22" x14ac:dyDescent="0.25">
      <c r="L106" s="4"/>
      <c r="V106" s="4"/>
    </row>
    <row r="107" spans="12:22" x14ac:dyDescent="0.25">
      <c r="L107" s="4"/>
      <c r="V107" s="4"/>
    </row>
    <row r="108" spans="12:22" x14ac:dyDescent="0.25">
      <c r="L108" s="4"/>
      <c r="V108" s="4"/>
    </row>
    <row r="109" spans="12:22" x14ac:dyDescent="0.25">
      <c r="L109" s="4"/>
      <c r="V109" s="4"/>
    </row>
    <row r="110" spans="12:22" x14ac:dyDescent="0.25">
      <c r="L110" s="4"/>
      <c r="V110" s="4"/>
    </row>
    <row r="111" spans="12:22" x14ac:dyDescent="0.25">
      <c r="L111" s="4"/>
      <c r="V111" s="4"/>
    </row>
    <row r="112" spans="12:22" x14ac:dyDescent="0.25">
      <c r="L112" s="4"/>
      <c r="V112" s="4"/>
    </row>
    <row r="113" spans="12:22" x14ac:dyDescent="0.25">
      <c r="L113" s="4"/>
      <c r="V113" s="4"/>
    </row>
    <row r="114" spans="12:22" x14ac:dyDescent="0.25">
      <c r="L114" s="4"/>
      <c r="V114" s="4"/>
    </row>
    <row r="115" spans="12:22" x14ac:dyDescent="0.25">
      <c r="L115" s="4"/>
      <c r="V115" s="4"/>
    </row>
    <row r="116" spans="12:22" x14ac:dyDescent="0.25">
      <c r="L116" s="4"/>
      <c r="V116" s="4"/>
    </row>
    <row r="117" spans="12:22" x14ac:dyDescent="0.25">
      <c r="L117" s="4"/>
      <c r="V117" s="4"/>
    </row>
    <row r="118" spans="12:22" x14ac:dyDescent="0.25">
      <c r="L118" s="4"/>
      <c r="V118" s="4"/>
    </row>
    <row r="119" spans="12:22" x14ac:dyDescent="0.25">
      <c r="L119" s="4"/>
      <c r="V119" s="4"/>
    </row>
    <row r="120" spans="12:22" x14ac:dyDescent="0.25">
      <c r="L120" s="4"/>
      <c r="V120" s="4"/>
    </row>
    <row r="121" spans="12:22" x14ac:dyDescent="0.25">
      <c r="L121" s="4"/>
      <c r="V121" s="4"/>
    </row>
    <row r="122" spans="12:22" x14ac:dyDescent="0.25">
      <c r="L122" s="4"/>
      <c r="V122" s="4"/>
    </row>
    <row r="123" spans="12:22" x14ac:dyDescent="0.25">
      <c r="L123" s="4"/>
      <c r="V123" s="4"/>
    </row>
    <row r="124" spans="12:22" x14ac:dyDescent="0.25">
      <c r="L124" s="4"/>
      <c r="V124" s="4"/>
    </row>
    <row r="125" spans="12:22" x14ac:dyDescent="0.25">
      <c r="L125" s="4"/>
      <c r="V125" s="4"/>
    </row>
    <row r="126" spans="12:22" x14ac:dyDescent="0.25">
      <c r="L126" s="4"/>
      <c r="V126" s="4"/>
    </row>
    <row r="127" spans="12:22" x14ac:dyDescent="0.25">
      <c r="L127" s="4"/>
      <c r="V127" s="4"/>
    </row>
    <row r="128" spans="12:22" x14ac:dyDescent="0.25">
      <c r="L128" s="4"/>
      <c r="V128" s="4"/>
    </row>
    <row r="129" spans="12:22" x14ac:dyDescent="0.25">
      <c r="L129" s="4"/>
      <c r="V129" s="4"/>
    </row>
    <row r="130" spans="12:22" x14ac:dyDescent="0.25">
      <c r="L130" s="4"/>
      <c r="V130" s="4"/>
    </row>
    <row r="131" spans="12:22" x14ac:dyDescent="0.25">
      <c r="L131" s="4"/>
      <c r="V131" s="4"/>
    </row>
    <row r="132" spans="12:22" x14ac:dyDescent="0.25">
      <c r="L132" s="4"/>
      <c r="V132" s="4"/>
    </row>
    <row r="133" spans="12:22" x14ac:dyDescent="0.25">
      <c r="L133" s="4"/>
      <c r="V133" s="4"/>
    </row>
    <row r="134" spans="12:22" x14ac:dyDescent="0.25">
      <c r="L134" s="4"/>
      <c r="V134" s="4"/>
    </row>
    <row r="135" spans="12:22" x14ac:dyDescent="0.25">
      <c r="L135" s="4"/>
      <c r="V135" s="4"/>
    </row>
    <row r="136" spans="12:22" x14ac:dyDescent="0.25">
      <c r="L136" s="4"/>
      <c r="V136" s="4"/>
    </row>
    <row r="137" spans="12:22" x14ac:dyDescent="0.25">
      <c r="L137" s="4"/>
      <c r="V137" s="4"/>
    </row>
    <row r="138" spans="12:22" x14ac:dyDescent="0.25">
      <c r="L138" s="4"/>
      <c r="V138" s="4"/>
    </row>
    <row r="139" spans="12:22" x14ac:dyDescent="0.25">
      <c r="L139" s="4"/>
      <c r="V139" s="4"/>
    </row>
    <row r="140" spans="12:22" x14ac:dyDescent="0.25">
      <c r="L140" s="4"/>
      <c r="V140" s="4"/>
    </row>
    <row r="141" spans="12:22" x14ac:dyDescent="0.25">
      <c r="L141" s="4"/>
      <c r="V141" s="4"/>
    </row>
    <row r="142" spans="12:22" x14ac:dyDescent="0.25">
      <c r="L142" s="4"/>
      <c r="V142" s="4"/>
    </row>
    <row r="143" spans="12:22" x14ac:dyDescent="0.25">
      <c r="L143" s="4"/>
      <c r="V143" s="4"/>
    </row>
    <row r="144" spans="12:22" x14ac:dyDescent="0.25">
      <c r="L144" s="4"/>
      <c r="V144" s="4"/>
    </row>
    <row r="145" spans="12:22" x14ac:dyDescent="0.25">
      <c r="L145" s="4"/>
      <c r="V145" s="4"/>
    </row>
    <row r="146" spans="12:22" x14ac:dyDescent="0.25">
      <c r="L146" s="4"/>
      <c r="V146" s="4"/>
    </row>
    <row r="147" spans="12:22" x14ac:dyDescent="0.25">
      <c r="L147" s="4"/>
      <c r="V147" s="4"/>
    </row>
    <row r="148" spans="12:22" x14ac:dyDescent="0.25">
      <c r="L148" s="4"/>
      <c r="V148" s="4"/>
    </row>
    <row r="149" spans="12:22" x14ac:dyDescent="0.25">
      <c r="L149" s="4"/>
      <c r="V149" s="4"/>
    </row>
    <row r="150" spans="12:22" x14ac:dyDescent="0.25">
      <c r="L150" s="4"/>
      <c r="V150" s="4"/>
    </row>
    <row r="151" spans="12:22" x14ac:dyDescent="0.25">
      <c r="L151" s="4"/>
      <c r="V151" s="4"/>
    </row>
    <row r="152" spans="12:22" x14ac:dyDescent="0.25">
      <c r="L152" s="4"/>
      <c r="V152" s="4"/>
    </row>
    <row r="153" spans="12:22" x14ac:dyDescent="0.25">
      <c r="L153" s="4"/>
      <c r="V153" s="4"/>
    </row>
    <row r="154" spans="12:22" x14ac:dyDescent="0.25">
      <c r="L154" s="4"/>
      <c r="V154" s="4"/>
    </row>
    <row r="155" spans="12:22" x14ac:dyDescent="0.25">
      <c r="L155" s="4"/>
      <c r="V155" s="4"/>
    </row>
    <row r="156" spans="12:22" x14ac:dyDescent="0.25">
      <c r="L156" s="4"/>
      <c r="V156" s="4"/>
    </row>
    <row r="157" spans="12:22" x14ac:dyDescent="0.25">
      <c r="L157" s="4"/>
      <c r="V157" s="4"/>
    </row>
    <row r="158" spans="12:22" x14ac:dyDescent="0.25">
      <c r="L158" s="4"/>
      <c r="V158" s="4"/>
    </row>
    <row r="159" spans="12:22" x14ac:dyDescent="0.25">
      <c r="L159" s="4"/>
      <c r="V159" s="4"/>
    </row>
    <row r="160" spans="12:22" x14ac:dyDescent="0.25">
      <c r="L160" s="4"/>
      <c r="V160" s="4"/>
    </row>
    <row r="161" spans="12:22" x14ac:dyDescent="0.25">
      <c r="L161" s="4"/>
      <c r="V161" s="4"/>
    </row>
    <row r="162" spans="12:22" x14ac:dyDescent="0.25">
      <c r="L162" s="4"/>
      <c r="V162" s="4"/>
    </row>
    <row r="163" spans="12:22" x14ac:dyDescent="0.25">
      <c r="L163" s="4"/>
      <c r="V163" s="4"/>
    </row>
    <row r="164" spans="12:22" x14ac:dyDescent="0.25">
      <c r="L164" s="4"/>
      <c r="V164" s="4"/>
    </row>
    <row r="165" spans="12:22" x14ac:dyDescent="0.25">
      <c r="L165" s="4"/>
      <c r="V165" s="4"/>
    </row>
    <row r="166" spans="12:22" x14ac:dyDescent="0.25">
      <c r="L166" s="4"/>
      <c r="V166" s="4"/>
    </row>
    <row r="167" spans="12:22" x14ac:dyDescent="0.25">
      <c r="L167" s="4"/>
      <c r="V167" s="4"/>
    </row>
    <row r="168" spans="12:22" x14ac:dyDescent="0.25">
      <c r="L168" s="4"/>
      <c r="V168" s="4"/>
    </row>
    <row r="169" spans="12:22" x14ac:dyDescent="0.25">
      <c r="L169" s="4"/>
      <c r="V169" s="4"/>
    </row>
    <row r="170" spans="12:22" x14ac:dyDescent="0.25">
      <c r="L170" s="4"/>
      <c r="V170" s="4"/>
    </row>
    <row r="171" spans="12:22" x14ac:dyDescent="0.25">
      <c r="L171" s="4"/>
      <c r="V171" s="4"/>
    </row>
    <row r="172" spans="12:22" x14ac:dyDescent="0.25">
      <c r="L172" s="4"/>
      <c r="V172" s="4"/>
    </row>
    <row r="173" spans="12:22" x14ac:dyDescent="0.25">
      <c r="L173" s="4"/>
      <c r="V173" s="4"/>
    </row>
    <row r="174" spans="12:22" x14ac:dyDescent="0.25">
      <c r="L174" s="4"/>
      <c r="V174" s="4"/>
    </row>
    <row r="175" spans="12:22" x14ac:dyDescent="0.25">
      <c r="L175" s="4"/>
      <c r="V175" s="4"/>
    </row>
    <row r="176" spans="12:22" x14ac:dyDescent="0.25">
      <c r="L176" s="4"/>
      <c r="V176" s="4"/>
    </row>
    <row r="177" spans="12:22" x14ac:dyDescent="0.25">
      <c r="L177" s="4"/>
      <c r="V177" s="4"/>
    </row>
    <row r="178" spans="12:22" x14ac:dyDescent="0.25">
      <c r="L178" s="4"/>
      <c r="V178" s="4"/>
    </row>
    <row r="179" spans="12:22" x14ac:dyDescent="0.25">
      <c r="L179" s="4"/>
      <c r="V179" s="4"/>
    </row>
    <row r="180" spans="12:22" x14ac:dyDescent="0.25">
      <c r="L180" s="4"/>
      <c r="V180" s="4"/>
    </row>
    <row r="181" spans="12:22" x14ac:dyDescent="0.25">
      <c r="L181" s="4"/>
      <c r="V181" s="4"/>
    </row>
    <row r="182" spans="12:22" x14ac:dyDescent="0.25">
      <c r="L182" s="4"/>
      <c r="V182" s="4"/>
    </row>
    <row r="183" spans="12:22" x14ac:dyDescent="0.25">
      <c r="L183" s="4"/>
      <c r="V183" s="4"/>
    </row>
    <row r="184" spans="12:22" x14ac:dyDescent="0.25">
      <c r="L184" s="4"/>
      <c r="V184" s="4"/>
    </row>
    <row r="185" spans="12:22" x14ac:dyDescent="0.25">
      <c r="L185" s="4"/>
      <c r="V185" s="4"/>
    </row>
    <row r="186" spans="12:22" x14ac:dyDescent="0.25">
      <c r="L186" s="4"/>
      <c r="V186" s="4"/>
    </row>
    <row r="187" spans="12:22" x14ac:dyDescent="0.25">
      <c r="L187" s="4"/>
      <c r="V187" s="4"/>
    </row>
    <row r="188" spans="12:22" x14ac:dyDescent="0.25">
      <c r="L188" s="4"/>
      <c r="V188" s="4"/>
    </row>
    <row r="189" spans="12:22" x14ac:dyDescent="0.25">
      <c r="L189" s="4"/>
      <c r="V189" s="4"/>
    </row>
    <row r="190" spans="12:22" x14ac:dyDescent="0.25">
      <c r="L190" s="4"/>
      <c r="V190" s="4"/>
    </row>
    <row r="191" spans="12:22" x14ac:dyDescent="0.25">
      <c r="L191" s="4"/>
      <c r="V191" s="4"/>
    </row>
    <row r="192" spans="12:22" x14ac:dyDescent="0.25">
      <c r="L192" s="4"/>
      <c r="V192" s="4"/>
    </row>
    <row r="193" spans="12:22" x14ac:dyDescent="0.25">
      <c r="L193" s="4"/>
      <c r="V193" s="4"/>
    </row>
    <row r="194" spans="12:22" x14ac:dyDescent="0.25">
      <c r="L194" s="4"/>
      <c r="V194" s="4"/>
    </row>
    <row r="195" spans="12:22" x14ac:dyDescent="0.25">
      <c r="L195" s="4"/>
      <c r="V195" s="4"/>
    </row>
    <row r="196" spans="12:22" x14ac:dyDescent="0.25">
      <c r="L196" s="4"/>
      <c r="V196" s="4"/>
    </row>
    <row r="197" spans="12:22" x14ac:dyDescent="0.25">
      <c r="L197" s="4"/>
      <c r="V197" s="4"/>
    </row>
    <row r="198" spans="12:22" x14ac:dyDescent="0.25">
      <c r="L198" s="4"/>
      <c r="V198" s="4"/>
    </row>
    <row r="199" spans="12:22" x14ac:dyDescent="0.25">
      <c r="L199" s="4"/>
      <c r="V199" s="4"/>
    </row>
    <row r="200" spans="12:22" x14ac:dyDescent="0.25">
      <c r="L200" s="4"/>
      <c r="V200" s="4"/>
    </row>
    <row r="201" spans="12:22" x14ac:dyDescent="0.25">
      <c r="L201" s="4"/>
      <c r="V201" s="4"/>
    </row>
    <row r="202" spans="12:22" x14ac:dyDescent="0.25">
      <c r="L202" s="4"/>
      <c r="V202" s="4"/>
    </row>
    <row r="203" spans="12:22" x14ac:dyDescent="0.25">
      <c r="L203" s="4"/>
      <c r="V203" s="4"/>
    </row>
    <row r="204" spans="12:22" x14ac:dyDescent="0.25">
      <c r="L204" s="4"/>
      <c r="V204" s="4"/>
    </row>
    <row r="205" spans="12:22" x14ac:dyDescent="0.25">
      <c r="L205" s="4"/>
      <c r="V205" s="4"/>
    </row>
    <row r="206" spans="12:22" x14ac:dyDescent="0.25">
      <c r="L206" s="4"/>
      <c r="V206" s="4"/>
    </row>
    <row r="207" spans="12:22" x14ac:dyDescent="0.25">
      <c r="L207" s="4"/>
      <c r="V207" s="4"/>
    </row>
    <row r="208" spans="12:22" x14ac:dyDescent="0.25">
      <c r="L208" s="4"/>
      <c r="V208" s="4"/>
    </row>
    <row r="209" spans="12:22" x14ac:dyDescent="0.25">
      <c r="L209" s="4"/>
      <c r="V209" s="4"/>
    </row>
    <row r="210" spans="12:22" x14ac:dyDescent="0.25">
      <c r="L210" s="4"/>
      <c r="V210" s="4"/>
    </row>
    <row r="211" spans="12:22" x14ac:dyDescent="0.25">
      <c r="L211" s="4"/>
      <c r="V211" s="4"/>
    </row>
    <row r="212" spans="12:22" x14ac:dyDescent="0.25">
      <c r="L212" s="4"/>
      <c r="V212" s="4"/>
    </row>
    <row r="213" spans="12:22" x14ac:dyDescent="0.25">
      <c r="L213" s="4"/>
      <c r="V213" s="4"/>
    </row>
    <row r="214" spans="12:22" x14ac:dyDescent="0.25">
      <c r="L214" s="4"/>
      <c r="V214" s="4"/>
    </row>
    <row r="215" spans="12:22" x14ac:dyDescent="0.25">
      <c r="L215" s="4"/>
      <c r="V215" s="4"/>
    </row>
    <row r="216" spans="12:22" x14ac:dyDescent="0.25">
      <c r="L216" s="4"/>
      <c r="V216" s="4"/>
    </row>
    <row r="217" spans="12:22" x14ac:dyDescent="0.25">
      <c r="L217" s="4"/>
      <c r="V217" s="4"/>
    </row>
    <row r="218" spans="12:22" x14ac:dyDescent="0.25">
      <c r="L218" s="4"/>
      <c r="V218" s="4"/>
    </row>
    <row r="219" spans="12:22" x14ac:dyDescent="0.25">
      <c r="L219" s="4"/>
      <c r="V219" s="4"/>
    </row>
    <row r="220" spans="12:22" x14ac:dyDescent="0.25">
      <c r="L220" s="4"/>
      <c r="V220" s="4"/>
    </row>
    <row r="221" spans="12:22" x14ac:dyDescent="0.25">
      <c r="L221" s="4"/>
      <c r="V221" s="4"/>
    </row>
    <row r="222" spans="12:22" x14ac:dyDescent="0.25">
      <c r="L222" s="4"/>
      <c r="V222" s="4"/>
    </row>
    <row r="223" spans="12:22" x14ac:dyDescent="0.25">
      <c r="L223" s="4"/>
      <c r="V223" s="4"/>
    </row>
    <row r="224" spans="12:22" x14ac:dyDescent="0.25">
      <c r="L224" s="4"/>
      <c r="V224" s="4"/>
    </row>
    <row r="225" spans="12:22" x14ac:dyDescent="0.25">
      <c r="L225" s="4"/>
      <c r="V225" s="4"/>
    </row>
    <row r="226" spans="12:22" x14ac:dyDescent="0.25">
      <c r="L226" s="4"/>
      <c r="V226" s="4"/>
    </row>
    <row r="227" spans="12:22" x14ac:dyDescent="0.25">
      <c r="L227" s="4"/>
      <c r="V227" s="4"/>
    </row>
    <row r="228" spans="12:22" x14ac:dyDescent="0.25">
      <c r="L228" s="4"/>
      <c r="V228" s="4"/>
    </row>
    <row r="229" spans="12:22" x14ac:dyDescent="0.25">
      <c r="L229" s="4"/>
      <c r="V229" s="4"/>
    </row>
    <row r="230" spans="12:22" x14ac:dyDescent="0.25">
      <c r="L230" s="4"/>
      <c r="V230" s="4"/>
    </row>
    <row r="231" spans="12:22" x14ac:dyDescent="0.25">
      <c r="L231" s="4"/>
      <c r="V231" s="4"/>
    </row>
    <row r="232" spans="12:22" x14ac:dyDescent="0.25">
      <c r="L232" s="4"/>
      <c r="V232" s="4"/>
    </row>
    <row r="233" spans="12:22" x14ac:dyDescent="0.25">
      <c r="L233" s="4"/>
      <c r="V233" s="4"/>
    </row>
    <row r="234" spans="12:22" x14ac:dyDescent="0.25">
      <c r="L234" s="4"/>
      <c r="V234" s="4"/>
    </row>
    <row r="235" spans="12:22" x14ac:dyDescent="0.25">
      <c r="L235" s="4"/>
      <c r="V235" s="4"/>
    </row>
    <row r="236" spans="12:22" x14ac:dyDescent="0.25">
      <c r="L236" s="4"/>
      <c r="V236" s="4"/>
    </row>
    <row r="237" spans="12:22" x14ac:dyDescent="0.25">
      <c r="L237" s="4"/>
      <c r="V237" s="4"/>
    </row>
    <row r="238" spans="12:22" x14ac:dyDescent="0.25">
      <c r="L238" s="4"/>
      <c r="V238" s="4"/>
    </row>
    <row r="239" spans="12:22" x14ac:dyDescent="0.25">
      <c r="L239" s="4"/>
      <c r="V239" s="4"/>
    </row>
    <row r="240" spans="12:22" x14ac:dyDescent="0.25">
      <c r="L240" s="4"/>
      <c r="V240" s="4"/>
    </row>
    <row r="241" spans="12:22" x14ac:dyDescent="0.25">
      <c r="L241" s="4"/>
      <c r="V241" s="4"/>
    </row>
    <row r="242" spans="12:22" x14ac:dyDescent="0.25">
      <c r="L242" s="4"/>
      <c r="V242" s="4"/>
    </row>
    <row r="243" spans="12:22" x14ac:dyDescent="0.25">
      <c r="L243" s="4"/>
      <c r="V243" s="4"/>
    </row>
    <row r="244" spans="12:22" x14ac:dyDescent="0.25">
      <c r="L244" s="4"/>
      <c r="V244" s="4"/>
    </row>
    <row r="245" spans="12:22" x14ac:dyDescent="0.25">
      <c r="L245" s="4"/>
      <c r="V245" s="4"/>
    </row>
    <row r="246" spans="12:22" x14ac:dyDescent="0.25">
      <c r="L246" s="4"/>
      <c r="V246" s="4"/>
    </row>
    <row r="247" spans="12:22" x14ac:dyDescent="0.25">
      <c r="L247" s="4"/>
      <c r="V247" s="4"/>
    </row>
    <row r="248" spans="12:22" x14ac:dyDescent="0.25">
      <c r="L248" s="4"/>
      <c r="V248" s="4"/>
    </row>
    <row r="249" spans="12:22" x14ac:dyDescent="0.25">
      <c r="L249" s="4"/>
      <c r="V249" s="4"/>
    </row>
    <row r="250" spans="12:22" x14ac:dyDescent="0.25">
      <c r="L250" s="4"/>
      <c r="V250" s="4"/>
    </row>
    <row r="251" spans="12:22" x14ac:dyDescent="0.25">
      <c r="L251" s="4"/>
      <c r="V251" s="4"/>
    </row>
    <row r="252" spans="12:22" x14ac:dyDescent="0.25">
      <c r="L252" s="4"/>
      <c r="V252" s="4"/>
    </row>
    <row r="253" spans="12:22" x14ac:dyDescent="0.25">
      <c r="L253" s="4"/>
      <c r="V253" s="4"/>
    </row>
    <row r="254" spans="12:22" x14ac:dyDescent="0.25">
      <c r="L254" s="4"/>
      <c r="V254" s="4"/>
    </row>
    <row r="255" spans="12:22" x14ac:dyDescent="0.25">
      <c r="L255" s="4"/>
      <c r="V255" s="4"/>
    </row>
    <row r="256" spans="12:22" x14ac:dyDescent="0.25">
      <c r="L256" s="4"/>
      <c r="V256" s="4"/>
    </row>
    <row r="257" spans="12:22" x14ac:dyDescent="0.25">
      <c r="L257" s="4"/>
      <c r="V257" s="4"/>
    </row>
    <row r="258" spans="12:22" x14ac:dyDescent="0.25">
      <c r="L258" s="4"/>
      <c r="V258" s="4"/>
    </row>
    <row r="259" spans="12:22" x14ac:dyDescent="0.25">
      <c r="L259" s="4"/>
      <c r="V259" s="4"/>
    </row>
    <row r="260" spans="12:22" x14ac:dyDescent="0.25">
      <c r="L260" s="4"/>
      <c r="V260" s="4"/>
    </row>
    <row r="261" spans="12:22" x14ac:dyDescent="0.25">
      <c r="L261" s="4"/>
      <c r="V261" s="4"/>
    </row>
    <row r="262" spans="12:22" x14ac:dyDescent="0.25">
      <c r="L262" s="4"/>
      <c r="V262" s="4"/>
    </row>
    <row r="263" spans="12:22" x14ac:dyDescent="0.25">
      <c r="L263" s="4"/>
      <c r="V263" s="4"/>
    </row>
    <row r="264" spans="12:22" x14ac:dyDescent="0.25">
      <c r="L264" s="4"/>
      <c r="V264" s="4"/>
    </row>
    <row r="265" spans="12:22" x14ac:dyDescent="0.25">
      <c r="L265" s="4"/>
      <c r="V265" s="4"/>
    </row>
    <row r="266" spans="12:22" x14ac:dyDescent="0.25">
      <c r="L266" s="4"/>
      <c r="V266" s="4"/>
    </row>
    <row r="267" spans="12:22" x14ac:dyDescent="0.25">
      <c r="L267" s="4"/>
      <c r="V267" s="4"/>
    </row>
    <row r="268" spans="12:22" x14ac:dyDescent="0.25">
      <c r="L268" s="4"/>
      <c r="V268" s="4"/>
    </row>
    <row r="269" spans="12:22" x14ac:dyDescent="0.25">
      <c r="L269" s="4"/>
      <c r="V269" s="4"/>
    </row>
    <row r="270" spans="12:22" x14ac:dyDescent="0.25">
      <c r="L270" s="4"/>
      <c r="V270" s="4"/>
    </row>
    <row r="271" spans="12:22" x14ac:dyDescent="0.25">
      <c r="L271" s="4"/>
      <c r="V271" s="4"/>
    </row>
    <row r="272" spans="12:22" x14ac:dyDescent="0.25">
      <c r="L272" s="4"/>
      <c r="V272" s="4"/>
    </row>
    <row r="273" spans="12:22" x14ac:dyDescent="0.25">
      <c r="L273" s="4"/>
      <c r="V273" s="4"/>
    </row>
    <row r="274" spans="12:22" x14ac:dyDescent="0.25">
      <c r="L274" s="4"/>
      <c r="V274" s="4"/>
    </row>
    <row r="275" spans="12:22" x14ac:dyDescent="0.25">
      <c r="L275" s="4"/>
      <c r="V275" s="4"/>
    </row>
    <row r="276" spans="12:22" x14ac:dyDescent="0.25">
      <c r="L276" s="4"/>
      <c r="V276" s="4"/>
    </row>
    <row r="277" spans="12:22" x14ac:dyDescent="0.25">
      <c r="L277" s="4"/>
      <c r="V277" s="4"/>
    </row>
    <row r="278" spans="12:22" x14ac:dyDescent="0.25">
      <c r="L278" s="4"/>
      <c r="V278" s="4"/>
    </row>
    <row r="279" spans="12:22" x14ac:dyDescent="0.25">
      <c r="L279" s="4"/>
      <c r="V279" s="4"/>
    </row>
    <row r="280" spans="12:22" x14ac:dyDescent="0.25">
      <c r="L280" s="4"/>
      <c r="V280" s="4"/>
    </row>
    <row r="281" spans="12:22" x14ac:dyDescent="0.25">
      <c r="L281" s="4"/>
      <c r="V281" s="4"/>
    </row>
    <row r="282" spans="12:22" x14ac:dyDescent="0.25">
      <c r="L282" s="4"/>
      <c r="V282" s="4"/>
    </row>
    <row r="283" spans="12:22" x14ac:dyDescent="0.25">
      <c r="L283" s="4"/>
      <c r="V283" s="4"/>
    </row>
    <row r="284" spans="12:22" x14ac:dyDescent="0.25">
      <c r="L284" s="4"/>
      <c r="V284" s="4"/>
    </row>
    <row r="285" spans="12:22" x14ac:dyDescent="0.25">
      <c r="L285" s="4"/>
      <c r="V285" s="4"/>
    </row>
    <row r="286" spans="12:22" x14ac:dyDescent="0.25">
      <c r="L286" s="4"/>
      <c r="V286" s="4"/>
    </row>
    <row r="287" spans="12:22" x14ac:dyDescent="0.25">
      <c r="L287" s="4"/>
      <c r="V287" s="4"/>
    </row>
    <row r="288" spans="12:22" x14ac:dyDescent="0.25">
      <c r="L288" s="4"/>
      <c r="V288" s="4"/>
    </row>
    <row r="289" spans="12:22" x14ac:dyDescent="0.25">
      <c r="L289" s="4"/>
      <c r="V289" s="4"/>
    </row>
    <row r="290" spans="12:22" x14ac:dyDescent="0.25">
      <c r="L290" s="4"/>
      <c r="V290" s="4"/>
    </row>
    <row r="291" spans="12:22" x14ac:dyDescent="0.25">
      <c r="L291" s="4"/>
      <c r="V291" s="4"/>
    </row>
    <row r="292" spans="12:22" x14ac:dyDescent="0.25">
      <c r="L292" s="4"/>
      <c r="V292" s="4"/>
    </row>
    <row r="293" spans="12:22" x14ac:dyDescent="0.25">
      <c r="L293" s="4"/>
      <c r="V293" s="4"/>
    </row>
    <row r="294" spans="12:22" x14ac:dyDescent="0.25">
      <c r="L294" s="4"/>
      <c r="V294" s="4"/>
    </row>
    <row r="295" spans="12:22" x14ac:dyDescent="0.25">
      <c r="L295" s="4"/>
      <c r="V295" s="4"/>
    </row>
    <row r="296" spans="12:22" x14ac:dyDescent="0.25">
      <c r="L296" s="4"/>
      <c r="V296" s="4"/>
    </row>
    <row r="297" spans="12:22" x14ac:dyDescent="0.25">
      <c r="L297" s="4"/>
      <c r="V297" s="4"/>
    </row>
    <row r="298" spans="12:22" x14ac:dyDescent="0.25">
      <c r="L298" s="4"/>
      <c r="V298" s="4"/>
    </row>
    <row r="299" spans="12:22" x14ac:dyDescent="0.25">
      <c r="L299" s="4"/>
      <c r="V299" s="4"/>
    </row>
    <row r="300" spans="12:22" x14ac:dyDescent="0.25">
      <c r="L300" s="4"/>
      <c r="V300" s="4"/>
    </row>
    <row r="301" spans="12:22" x14ac:dyDescent="0.25">
      <c r="L301" s="4"/>
      <c r="V301" s="4"/>
    </row>
    <row r="302" spans="12:22" x14ac:dyDescent="0.25">
      <c r="L302" s="4"/>
      <c r="V302" s="4"/>
    </row>
    <row r="303" spans="12:22" x14ac:dyDescent="0.25">
      <c r="L303" s="4"/>
      <c r="V303" s="4"/>
    </row>
    <row r="304" spans="12:22" x14ac:dyDescent="0.25">
      <c r="L304" s="4"/>
      <c r="V304" s="4"/>
    </row>
    <row r="305" spans="12:22" x14ac:dyDescent="0.25">
      <c r="L305" s="4"/>
      <c r="V305" s="4"/>
    </row>
    <row r="306" spans="12:22" x14ac:dyDescent="0.25">
      <c r="L306" s="4"/>
      <c r="V306" s="4"/>
    </row>
    <row r="307" spans="12:22" x14ac:dyDescent="0.25">
      <c r="L307" s="4"/>
      <c r="V307" s="4"/>
    </row>
    <row r="308" spans="12:22" x14ac:dyDescent="0.25">
      <c r="L308" s="4"/>
      <c r="V308" s="4"/>
    </row>
    <row r="309" spans="12:22" x14ac:dyDescent="0.25">
      <c r="L309" s="4"/>
      <c r="V309" s="4"/>
    </row>
    <row r="310" spans="12:22" x14ac:dyDescent="0.25">
      <c r="L310" s="4"/>
      <c r="V310" s="4"/>
    </row>
    <row r="311" spans="12:22" x14ac:dyDescent="0.25">
      <c r="L311" s="4"/>
      <c r="V311" s="4"/>
    </row>
    <row r="312" spans="12:22" x14ac:dyDescent="0.25">
      <c r="L312" s="4"/>
      <c r="V312" s="4"/>
    </row>
    <row r="313" spans="12:22" x14ac:dyDescent="0.25">
      <c r="L313" s="4"/>
      <c r="V313" s="4"/>
    </row>
    <row r="314" spans="12:22" x14ac:dyDescent="0.25">
      <c r="L314" s="4"/>
      <c r="V314" s="4"/>
    </row>
    <row r="315" spans="12:22" x14ac:dyDescent="0.25">
      <c r="L315" s="4"/>
      <c r="V315" s="4"/>
    </row>
    <row r="316" spans="12:22" x14ac:dyDescent="0.25">
      <c r="L316" s="4"/>
      <c r="V316" s="4"/>
    </row>
    <row r="317" spans="12:22" x14ac:dyDescent="0.25">
      <c r="L317" s="4"/>
      <c r="V317" s="4"/>
    </row>
    <row r="318" spans="12:22" x14ac:dyDescent="0.25">
      <c r="L318" s="4"/>
      <c r="V318" s="4"/>
    </row>
    <row r="319" spans="12:22" x14ac:dyDescent="0.25">
      <c r="L319" s="4"/>
      <c r="V319" s="4"/>
    </row>
    <row r="320" spans="12:22" x14ac:dyDescent="0.25">
      <c r="L320" s="4"/>
      <c r="V320" s="4"/>
    </row>
    <row r="321" spans="12:22" x14ac:dyDescent="0.25">
      <c r="L321" s="4"/>
      <c r="V321" s="4"/>
    </row>
    <row r="322" spans="12:22" x14ac:dyDescent="0.25">
      <c r="L322" s="4"/>
      <c r="V322" s="4"/>
    </row>
    <row r="323" spans="12:22" x14ac:dyDescent="0.25">
      <c r="L323" s="4"/>
      <c r="V323" s="4"/>
    </row>
    <row r="324" spans="12:22" x14ac:dyDescent="0.25">
      <c r="L324" s="4"/>
      <c r="V324" s="4"/>
    </row>
    <row r="325" spans="12:22" x14ac:dyDescent="0.25">
      <c r="L325" s="4"/>
      <c r="V325" s="4"/>
    </row>
    <row r="326" spans="12:22" x14ac:dyDescent="0.25">
      <c r="L326" s="4"/>
      <c r="V326" s="4"/>
    </row>
    <row r="327" spans="12:22" x14ac:dyDescent="0.25">
      <c r="L327" s="4"/>
      <c r="V327" s="4"/>
    </row>
    <row r="328" spans="12:22" x14ac:dyDescent="0.25">
      <c r="L328" s="4"/>
      <c r="V328" s="4"/>
    </row>
    <row r="329" spans="12:22" x14ac:dyDescent="0.25">
      <c r="L329" s="4"/>
      <c r="V329" s="4"/>
    </row>
    <row r="330" spans="12:22" x14ac:dyDescent="0.25">
      <c r="L330" s="4"/>
      <c r="V330" s="4"/>
    </row>
    <row r="331" spans="12:22" x14ac:dyDescent="0.25">
      <c r="L331" s="4"/>
      <c r="V331" s="4"/>
    </row>
    <row r="332" spans="12:22" x14ac:dyDescent="0.25">
      <c r="L332" s="4"/>
      <c r="V332" s="4"/>
    </row>
    <row r="333" spans="12:22" x14ac:dyDescent="0.25">
      <c r="L333" s="4"/>
      <c r="V333" s="4"/>
    </row>
    <row r="334" spans="12:22" x14ac:dyDescent="0.25">
      <c r="L334" s="4"/>
      <c r="V334" s="4"/>
    </row>
    <row r="335" spans="12:22" x14ac:dyDescent="0.25">
      <c r="L335" s="4"/>
      <c r="V335" s="4"/>
    </row>
    <row r="336" spans="12:22" x14ac:dyDescent="0.25">
      <c r="L336" s="4"/>
      <c r="V336" s="4"/>
    </row>
    <row r="337" spans="12:22" x14ac:dyDescent="0.25">
      <c r="L337" s="4"/>
      <c r="V337" s="4"/>
    </row>
    <row r="338" spans="12:22" x14ac:dyDescent="0.25">
      <c r="L338" s="4"/>
      <c r="V338" s="4"/>
    </row>
    <row r="339" spans="12:22" x14ac:dyDescent="0.25">
      <c r="L339" s="4"/>
      <c r="V339" s="4"/>
    </row>
    <row r="340" spans="12:22" x14ac:dyDescent="0.25">
      <c r="L340" s="4"/>
      <c r="V340" s="4"/>
    </row>
    <row r="341" spans="12:22" x14ac:dyDescent="0.25">
      <c r="L341" s="4"/>
      <c r="V341" s="4"/>
    </row>
    <row r="342" spans="12:22" x14ac:dyDescent="0.25">
      <c r="L342" s="4"/>
      <c r="V342" s="4"/>
    </row>
    <row r="343" spans="12:22" x14ac:dyDescent="0.25">
      <c r="L343" s="4"/>
      <c r="V343" s="4"/>
    </row>
    <row r="344" spans="12:22" x14ac:dyDescent="0.25">
      <c r="L344" s="4"/>
      <c r="V344" s="4"/>
    </row>
    <row r="345" spans="12:22" x14ac:dyDescent="0.25">
      <c r="L345" s="4"/>
      <c r="V345" s="4"/>
    </row>
    <row r="346" spans="12:22" x14ac:dyDescent="0.25">
      <c r="L346" s="4"/>
      <c r="V346" s="4"/>
    </row>
    <row r="347" spans="12:22" x14ac:dyDescent="0.25">
      <c r="L347" s="4"/>
      <c r="V347" s="4"/>
    </row>
    <row r="348" spans="12:22" x14ac:dyDescent="0.25">
      <c r="L348" s="4"/>
      <c r="V348" s="4"/>
    </row>
    <row r="349" spans="12:22" x14ac:dyDescent="0.25">
      <c r="L349" s="4"/>
      <c r="V349" s="4"/>
    </row>
    <row r="350" spans="12:22" x14ac:dyDescent="0.25">
      <c r="L350" s="4"/>
      <c r="V350" s="4"/>
    </row>
    <row r="351" spans="12:22" x14ac:dyDescent="0.25">
      <c r="L351" s="4"/>
      <c r="V351" s="4"/>
    </row>
    <row r="352" spans="12:22" x14ac:dyDescent="0.25">
      <c r="L352" s="4"/>
      <c r="V352" s="4"/>
    </row>
    <row r="353" spans="12:22" x14ac:dyDescent="0.25">
      <c r="L353" s="4"/>
      <c r="V353" s="4"/>
    </row>
    <row r="354" spans="12:22" x14ac:dyDescent="0.25">
      <c r="L354" s="4"/>
      <c r="V354" s="4"/>
    </row>
    <row r="355" spans="12:22" x14ac:dyDescent="0.25">
      <c r="L355" s="4"/>
      <c r="V355" s="4"/>
    </row>
    <row r="356" spans="12:22" x14ac:dyDescent="0.25">
      <c r="L356" s="4"/>
      <c r="V356" s="4"/>
    </row>
    <row r="357" spans="12:22" x14ac:dyDescent="0.25">
      <c r="L357" s="4"/>
      <c r="V357" s="4"/>
    </row>
    <row r="358" spans="12:22" x14ac:dyDescent="0.25">
      <c r="L358" s="4"/>
      <c r="V358" s="4"/>
    </row>
    <row r="359" spans="12:22" x14ac:dyDescent="0.25">
      <c r="L359" s="4"/>
      <c r="V359" s="4"/>
    </row>
    <row r="360" spans="12:22" x14ac:dyDescent="0.25">
      <c r="L360" s="4"/>
      <c r="V360" s="4"/>
    </row>
    <row r="361" spans="12:22" x14ac:dyDescent="0.25">
      <c r="L361" s="4"/>
      <c r="V361" s="4"/>
    </row>
    <row r="362" spans="12:22" x14ac:dyDescent="0.25">
      <c r="L362" s="4"/>
      <c r="V362" s="4"/>
    </row>
    <row r="363" spans="12:22" x14ac:dyDescent="0.25">
      <c r="L363" s="4"/>
      <c r="V363" s="4"/>
    </row>
    <row r="364" spans="12:22" x14ac:dyDescent="0.25">
      <c r="L364" s="4"/>
      <c r="V364" s="4"/>
    </row>
    <row r="365" spans="12:22" x14ac:dyDescent="0.25">
      <c r="L365" s="4"/>
      <c r="V365" s="4"/>
    </row>
    <row r="366" spans="12:22" x14ac:dyDescent="0.25">
      <c r="L366" s="4"/>
      <c r="V366" s="4"/>
    </row>
    <row r="367" spans="12:22" x14ac:dyDescent="0.25">
      <c r="L367" s="4"/>
      <c r="V367" s="4"/>
    </row>
    <row r="368" spans="12:22" x14ac:dyDescent="0.25">
      <c r="L368" s="4"/>
      <c r="V368" s="4"/>
    </row>
    <row r="369" spans="12:22" x14ac:dyDescent="0.25">
      <c r="L369" s="4"/>
      <c r="V369" s="4"/>
    </row>
    <row r="370" spans="12:22" x14ac:dyDescent="0.25">
      <c r="L370" s="4"/>
      <c r="V370" s="4"/>
    </row>
    <row r="371" spans="12:22" x14ac:dyDescent="0.25">
      <c r="L371" s="4"/>
      <c r="V371" s="4"/>
    </row>
    <row r="372" spans="12:22" x14ac:dyDescent="0.25">
      <c r="L372" s="4"/>
      <c r="V372" s="4"/>
    </row>
    <row r="373" spans="12:22" x14ac:dyDescent="0.25">
      <c r="L373" s="4"/>
      <c r="V373" s="4"/>
    </row>
    <row r="374" spans="12:22" x14ac:dyDescent="0.25">
      <c r="L374" s="4"/>
      <c r="V374" s="4"/>
    </row>
    <row r="375" spans="12:22" x14ac:dyDescent="0.25">
      <c r="L375" s="4"/>
      <c r="V375" s="4"/>
    </row>
    <row r="376" spans="12:22" x14ac:dyDescent="0.25">
      <c r="L376" s="4"/>
      <c r="V376" s="4"/>
    </row>
    <row r="377" spans="12:22" x14ac:dyDescent="0.25">
      <c r="L377" s="4"/>
      <c r="V377" s="4"/>
    </row>
    <row r="378" spans="12:22" x14ac:dyDescent="0.25">
      <c r="L378" s="4"/>
      <c r="V378" s="4"/>
    </row>
    <row r="379" spans="12:22" x14ac:dyDescent="0.25">
      <c r="L379" s="4"/>
      <c r="V379" s="4"/>
    </row>
    <row r="380" spans="12:22" x14ac:dyDescent="0.25">
      <c r="L380" s="4"/>
      <c r="V380" s="4"/>
    </row>
    <row r="381" spans="12:22" x14ac:dyDescent="0.25">
      <c r="L381" s="4"/>
      <c r="V381" s="4"/>
    </row>
    <row r="382" spans="12:22" x14ac:dyDescent="0.25">
      <c r="L382" s="4"/>
      <c r="V382" s="4"/>
    </row>
    <row r="383" spans="12:22" x14ac:dyDescent="0.25">
      <c r="L383" s="4"/>
      <c r="V383" s="4"/>
    </row>
    <row r="384" spans="12:22" x14ac:dyDescent="0.25">
      <c r="L384" s="4"/>
      <c r="V384" s="4"/>
    </row>
    <row r="385" spans="12:22" x14ac:dyDescent="0.25">
      <c r="L385" s="4"/>
      <c r="V385" s="4"/>
    </row>
    <row r="386" spans="12:22" x14ac:dyDescent="0.25">
      <c r="L386" s="4"/>
      <c r="V386" s="4"/>
    </row>
    <row r="387" spans="12:22" x14ac:dyDescent="0.25">
      <c r="L387" s="4"/>
      <c r="V387" s="4"/>
    </row>
    <row r="388" spans="12:22" x14ac:dyDescent="0.25">
      <c r="L388" s="4"/>
      <c r="V388" s="4"/>
    </row>
    <row r="389" spans="12:22" x14ac:dyDescent="0.25">
      <c r="L389" s="4"/>
      <c r="V389" s="4"/>
    </row>
    <row r="390" spans="12:22" x14ac:dyDescent="0.25">
      <c r="L390" s="4"/>
      <c r="V390" s="4"/>
    </row>
    <row r="391" spans="12:22" x14ac:dyDescent="0.25">
      <c r="L391" s="4"/>
      <c r="V391" s="4"/>
    </row>
    <row r="392" spans="12:22" x14ac:dyDescent="0.25">
      <c r="L392" s="4"/>
      <c r="V392" s="4"/>
    </row>
    <row r="393" spans="12:22" x14ac:dyDescent="0.25">
      <c r="L393" s="4"/>
      <c r="V393" s="4"/>
    </row>
    <row r="394" spans="12:22" x14ac:dyDescent="0.25">
      <c r="L394" s="4"/>
      <c r="V394" s="4"/>
    </row>
    <row r="395" spans="12:22" x14ac:dyDescent="0.25">
      <c r="L395" s="4"/>
      <c r="V395" s="4"/>
    </row>
    <row r="396" spans="12:22" x14ac:dyDescent="0.25">
      <c r="L396" s="4"/>
      <c r="V396" s="4"/>
    </row>
    <row r="397" spans="12:22" x14ac:dyDescent="0.25">
      <c r="L397" s="4"/>
      <c r="V397" s="4"/>
    </row>
    <row r="398" spans="12:22" x14ac:dyDescent="0.25">
      <c r="L398" s="4"/>
      <c r="V398" s="4"/>
    </row>
    <row r="399" spans="12:22" x14ac:dyDescent="0.25">
      <c r="L399" s="4"/>
      <c r="V399" s="4"/>
    </row>
    <row r="400" spans="12:22" x14ac:dyDescent="0.25">
      <c r="L400" s="4"/>
      <c r="V400" s="4"/>
    </row>
    <row r="401" spans="12:22" x14ac:dyDescent="0.25">
      <c r="L401" s="4"/>
      <c r="V401" s="4"/>
    </row>
    <row r="402" spans="12:22" x14ac:dyDescent="0.25">
      <c r="L402" s="4"/>
      <c r="V402" s="4"/>
    </row>
    <row r="403" spans="12:22" x14ac:dyDescent="0.25">
      <c r="L403" s="4"/>
      <c r="V403" s="4"/>
    </row>
    <row r="404" spans="12:22" x14ac:dyDescent="0.25">
      <c r="L404" s="4"/>
      <c r="V404" s="4"/>
    </row>
    <row r="405" spans="12:22" x14ac:dyDescent="0.25">
      <c r="L405" s="4"/>
      <c r="V405" s="4"/>
    </row>
    <row r="406" spans="12:22" x14ac:dyDescent="0.25">
      <c r="L406" s="4"/>
      <c r="V406" s="4"/>
    </row>
    <row r="407" spans="12:22" x14ac:dyDescent="0.25">
      <c r="L407" s="4"/>
      <c r="V407" s="4"/>
    </row>
    <row r="408" spans="12:22" x14ac:dyDescent="0.25">
      <c r="L408" s="4"/>
      <c r="V408" s="4"/>
    </row>
    <row r="409" spans="12:22" x14ac:dyDescent="0.25">
      <c r="L409" s="4"/>
      <c r="V409" s="4"/>
    </row>
    <row r="410" spans="12:22" x14ac:dyDescent="0.25">
      <c r="L410" s="4"/>
      <c r="V410" s="4"/>
    </row>
    <row r="411" spans="12:22" x14ac:dyDescent="0.25">
      <c r="L411" s="4"/>
      <c r="V411" s="4"/>
    </row>
    <row r="412" spans="12:22" x14ac:dyDescent="0.25">
      <c r="L412" s="4"/>
      <c r="V412" s="4"/>
    </row>
    <row r="413" spans="12:22" x14ac:dyDescent="0.25">
      <c r="L413" s="4"/>
      <c r="V413" s="4"/>
    </row>
    <row r="414" spans="12:22" x14ac:dyDescent="0.25">
      <c r="L414" s="4"/>
      <c r="V414" s="4"/>
    </row>
    <row r="415" spans="12:22" x14ac:dyDescent="0.25">
      <c r="L415" s="4"/>
      <c r="V415" s="4"/>
    </row>
    <row r="416" spans="12:22" x14ac:dyDescent="0.25">
      <c r="L416" s="4"/>
      <c r="V416" s="4"/>
    </row>
    <row r="417" spans="12:22" x14ac:dyDescent="0.25">
      <c r="L417" s="4"/>
      <c r="V417" s="4"/>
    </row>
    <row r="418" spans="12:22" x14ac:dyDescent="0.25">
      <c r="L418" s="4"/>
      <c r="V418" s="4"/>
    </row>
    <row r="419" spans="12:22" x14ac:dyDescent="0.25">
      <c r="L419" s="4"/>
      <c r="V419" s="4"/>
    </row>
    <row r="420" spans="12:22" x14ac:dyDescent="0.25">
      <c r="L420" s="4"/>
      <c r="V420" s="4"/>
    </row>
    <row r="421" spans="12:22" x14ac:dyDescent="0.25">
      <c r="L421" s="4"/>
      <c r="V421" s="4"/>
    </row>
    <row r="422" spans="12:22" x14ac:dyDescent="0.25">
      <c r="L422" s="4"/>
      <c r="V422" s="4"/>
    </row>
    <row r="423" spans="12:22" x14ac:dyDescent="0.25">
      <c r="L423" s="4"/>
      <c r="V423" s="4"/>
    </row>
    <row r="424" spans="12:22" x14ac:dyDescent="0.25">
      <c r="L424" s="4"/>
      <c r="V424" s="4"/>
    </row>
    <row r="425" spans="12:22" x14ac:dyDescent="0.25">
      <c r="L425" s="4"/>
      <c r="V425" s="4"/>
    </row>
    <row r="426" spans="12:22" x14ac:dyDescent="0.25">
      <c r="L426" s="4"/>
      <c r="V426" s="4"/>
    </row>
    <row r="427" spans="12:22" x14ac:dyDescent="0.25">
      <c r="L427" s="4"/>
      <c r="V427" s="4"/>
    </row>
    <row r="428" spans="12:22" x14ac:dyDescent="0.25">
      <c r="L428" s="4"/>
      <c r="V428" s="4"/>
    </row>
    <row r="429" spans="12:22" x14ac:dyDescent="0.25">
      <c r="L429" s="4"/>
      <c r="V429" s="4"/>
    </row>
    <row r="430" spans="12:22" x14ac:dyDescent="0.25">
      <c r="L430" s="4"/>
      <c r="V430" s="4"/>
    </row>
    <row r="431" spans="12:22" x14ac:dyDescent="0.25">
      <c r="L431" s="4"/>
      <c r="V431" s="4"/>
    </row>
    <row r="432" spans="12:22" x14ac:dyDescent="0.25">
      <c r="L432" s="4"/>
      <c r="V432" s="4"/>
    </row>
    <row r="433" spans="12:22" x14ac:dyDescent="0.25">
      <c r="L433" s="4"/>
      <c r="V433" s="4"/>
    </row>
    <row r="434" spans="12:22" x14ac:dyDescent="0.25">
      <c r="L434" s="4"/>
      <c r="V434" s="4"/>
    </row>
    <row r="435" spans="12:22" x14ac:dyDescent="0.25">
      <c r="L435" s="4"/>
      <c r="V435" s="4"/>
    </row>
    <row r="436" spans="12:22" x14ac:dyDescent="0.25">
      <c r="L436" s="4"/>
      <c r="V436" s="4"/>
    </row>
    <row r="437" spans="12:22" x14ac:dyDescent="0.25">
      <c r="L437" s="4"/>
      <c r="V437" s="4"/>
    </row>
    <row r="438" spans="12:22" x14ac:dyDescent="0.25">
      <c r="L438" s="4"/>
      <c r="V438" s="4"/>
    </row>
    <row r="439" spans="12:22" x14ac:dyDescent="0.25">
      <c r="L439" s="4"/>
      <c r="V439" s="4"/>
    </row>
    <row r="440" spans="12:22" x14ac:dyDescent="0.25">
      <c r="L440" s="4"/>
      <c r="V440" s="4"/>
    </row>
    <row r="441" spans="12:22" x14ac:dyDescent="0.25">
      <c r="L441" s="4"/>
      <c r="V441" s="4"/>
    </row>
    <row r="442" spans="12:22" x14ac:dyDescent="0.25">
      <c r="L442" s="4"/>
      <c r="V442" s="4"/>
    </row>
    <row r="443" spans="12:22" x14ac:dyDescent="0.25">
      <c r="L443" s="4"/>
      <c r="V443" s="4"/>
    </row>
    <row r="444" spans="12:22" x14ac:dyDescent="0.25">
      <c r="L444" s="4"/>
      <c r="V444" s="4"/>
    </row>
    <row r="445" spans="12:22" x14ac:dyDescent="0.25">
      <c r="L445" s="4"/>
      <c r="V445" s="4"/>
    </row>
    <row r="446" spans="12:22" x14ac:dyDescent="0.25">
      <c r="L446" s="4"/>
      <c r="V446" s="4"/>
    </row>
    <row r="447" spans="12:22" x14ac:dyDescent="0.25">
      <c r="L447" s="4"/>
      <c r="V447" s="4"/>
    </row>
    <row r="448" spans="12:22" x14ac:dyDescent="0.25">
      <c r="L448" s="4"/>
      <c r="V448" s="4"/>
    </row>
    <row r="449" spans="12:22" x14ac:dyDescent="0.25">
      <c r="L449" s="4"/>
      <c r="V449" s="4"/>
    </row>
    <row r="450" spans="12:22" x14ac:dyDescent="0.25">
      <c r="L450" s="4"/>
      <c r="V450" s="4"/>
    </row>
    <row r="451" spans="12:22" x14ac:dyDescent="0.25">
      <c r="L451" s="4"/>
      <c r="V451" s="4"/>
    </row>
    <row r="452" spans="12:22" x14ac:dyDescent="0.25">
      <c r="L452" s="4"/>
      <c r="V452" s="4"/>
    </row>
    <row r="453" spans="12:22" x14ac:dyDescent="0.25">
      <c r="L453" s="4"/>
      <c r="V453" s="4"/>
    </row>
    <row r="454" spans="12:22" x14ac:dyDescent="0.25">
      <c r="L454" s="4"/>
      <c r="V454" s="4"/>
    </row>
    <row r="455" spans="12:22" x14ac:dyDescent="0.25">
      <c r="L455" s="4"/>
      <c r="V455" s="4"/>
    </row>
    <row r="456" spans="12:22" x14ac:dyDescent="0.25">
      <c r="L456" s="4"/>
      <c r="V456" s="4"/>
    </row>
    <row r="457" spans="12:22" x14ac:dyDescent="0.25">
      <c r="L457" s="4"/>
      <c r="V457" s="4"/>
    </row>
    <row r="458" spans="12:22" x14ac:dyDescent="0.25">
      <c r="L458" s="4"/>
      <c r="V458" s="4"/>
    </row>
    <row r="459" spans="12:22" x14ac:dyDescent="0.25">
      <c r="L459" s="4"/>
      <c r="V459" s="4"/>
    </row>
    <row r="460" spans="12:22" x14ac:dyDescent="0.25">
      <c r="L460" s="4"/>
      <c r="V460" s="4"/>
    </row>
    <row r="461" spans="12:22" x14ac:dyDescent="0.25">
      <c r="L461" s="4"/>
      <c r="V461" s="4"/>
    </row>
    <row r="462" spans="12:22" x14ac:dyDescent="0.25">
      <c r="L462" s="4"/>
      <c r="V462" s="4"/>
    </row>
    <row r="463" spans="12:22" x14ac:dyDescent="0.25">
      <c r="L463" s="4"/>
      <c r="V463" s="4"/>
    </row>
    <row r="464" spans="12:22" x14ac:dyDescent="0.25">
      <c r="L464" s="4"/>
      <c r="V464" s="4"/>
    </row>
    <row r="465" spans="12:22" x14ac:dyDescent="0.25">
      <c r="L465" s="4"/>
      <c r="V465" s="4"/>
    </row>
    <row r="466" spans="12:22" x14ac:dyDescent="0.25">
      <c r="L466" s="4"/>
      <c r="V466" s="4"/>
    </row>
    <row r="467" spans="12:22" x14ac:dyDescent="0.25">
      <c r="L467" s="4"/>
      <c r="V467" s="4"/>
    </row>
    <row r="468" spans="12:22" x14ac:dyDescent="0.25">
      <c r="L468" s="4"/>
      <c r="V468" s="4"/>
    </row>
    <row r="469" spans="12:22" x14ac:dyDescent="0.25">
      <c r="L469" s="4"/>
      <c r="V469" s="4"/>
    </row>
    <row r="470" spans="12:22" x14ac:dyDescent="0.25">
      <c r="L470" s="4"/>
      <c r="V470" s="4"/>
    </row>
    <row r="471" spans="12:22" x14ac:dyDescent="0.25">
      <c r="L471" s="4"/>
      <c r="V471" s="4"/>
    </row>
    <row r="472" spans="12:22" x14ac:dyDescent="0.25">
      <c r="L472" s="4"/>
      <c r="V472" s="4"/>
    </row>
    <row r="473" spans="12:22" x14ac:dyDescent="0.25">
      <c r="L473" s="4"/>
      <c r="V473" s="4"/>
    </row>
    <row r="474" spans="12:22" x14ac:dyDescent="0.25">
      <c r="L474" s="4"/>
      <c r="V474" s="4"/>
    </row>
    <row r="475" spans="12:22" x14ac:dyDescent="0.25">
      <c r="L475" s="4"/>
      <c r="V475" s="4"/>
    </row>
    <row r="476" spans="12:22" x14ac:dyDescent="0.25">
      <c r="L476" s="4"/>
      <c r="V476" s="4"/>
    </row>
    <row r="477" spans="12:22" x14ac:dyDescent="0.25">
      <c r="L477" s="4"/>
      <c r="V477" s="4"/>
    </row>
    <row r="478" spans="12:22" x14ac:dyDescent="0.25">
      <c r="L478" s="4"/>
      <c r="V478" s="4"/>
    </row>
    <row r="479" spans="12:22" x14ac:dyDescent="0.25">
      <c r="L479" s="4"/>
      <c r="V479" s="4"/>
    </row>
    <row r="480" spans="12:22" x14ac:dyDescent="0.25">
      <c r="L480" s="4"/>
      <c r="V480" s="4"/>
    </row>
    <row r="481" spans="12:22" x14ac:dyDescent="0.25">
      <c r="L481" s="4"/>
      <c r="V481" s="4"/>
    </row>
    <row r="482" spans="12:22" x14ac:dyDescent="0.25">
      <c r="L482" s="4"/>
      <c r="V482" s="4"/>
    </row>
    <row r="483" spans="12:22" x14ac:dyDescent="0.25">
      <c r="L483" s="4"/>
      <c r="V483" s="4"/>
    </row>
    <row r="484" spans="12:22" x14ac:dyDescent="0.25">
      <c r="L484" s="4"/>
      <c r="V484" s="4"/>
    </row>
    <row r="485" spans="12:22" x14ac:dyDescent="0.25">
      <c r="L485" s="4"/>
      <c r="V485" s="4"/>
    </row>
    <row r="486" spans="12:22" x14ac:dyDescent="0.25">
      <c r="L486" s="4"/>
      <c r="V486" s="4"/>
    </row>
    <row r="487" spans="12:22" x14ac:dyDescent="0.25">
      <c r="L487" s="4"/>
      <c r="V487" s="4"/>
    </row>
    <row r="488" spans="12:22" x14ac:dyDescent="0.25">
      <c r="L488" s="4"/>
      <c r="V488" s="4"/>
    </row>
    <row r="489" spans="12:22" x14ac:dyDescent="0.25">
      <c r="L489" s="4"/>
      <c r="V489" s="4"/>
    </row>
    <row r="490" spans="12:22" x14ac:dyDescent="0.25">
      <c r="L490" s="4"/>
      <c r="V490" s="4"/>
    </row>
    <row r="491" spans="12:22" x14ac:dyDescent="0.25">
      <c r="L491" s="4"/>
      <c r="V491" s="4"/>
    </row>
    <row r="492" spans="12:22" x14ac:dyDescent="0.25">
      <c r="L492" s="4"/>
      <c r="V492" s="4"/>
    </row>
    <row r="493" spans="12:22" x14ac:dyDescent="0.25">
      <c r="L493" s="4"/>
      <c r="V493" s="4"/>
    </row>
    <row r="494" spans="12:22" x14ac:dyDescent="0.25">
      <c r="L494" s="4"/>
      <c r="V494" s="4"/>
    </row>
    <row r="495" spans="12:22" x14ac:dyDescent="0.25">
      <c r="L495" s="4"/>
      <c r="V495" s="4"/>
    </row>
    <row r="496" spans="12:22" x14ac:dyDescent="0.25">
      <c r="L496" s="4"/>
      <c r="V496" s="4"/>
    </row>
    <row r="497" spans="12:22" x14ac:dyDescent="0.25">
      <c r="L497" s="4"/>
      <c r="V497" s="4"/>
    </row>
    <row r="498" spans="12:22" x14ac:dyDescent="0.25">
      <c r="L498" s="4"/>
      <c r="V498" s="4"/>
    </row>
    <row r="499" spans="12:22" x14ac:dyDescent="0.25">
      <c r="L499" s="4"/>
      <c r="V499" s="4"/>
    </row>
    <row r="500" spans="12:22" x14ac:dyDescent="0.25">
      <c r="L500" s="4"/>
      <c r="V500" s="4"/>
    </row>
    <row r="501" spans="12:22" x14ac:dyDescent="0.25">
      <c r="L501" s="4"/>
      <c r="V501" s="4"/>
    </row>
    <row r="502" spans="12:22" x14ac:dyDescent="0.25">
      <c r="L502" s="4"/>
      <c r="V502" s="4"/>
    </row>
    <row r="503" spans="12:22" x14ac:dyDescent="0.25">
      <c r="L503" s="4"/>
      <c r="V503" s="4"/>
    </row>
    <row r="504" spans="12:22" x14ac:dyDescent="0.25">
      <c r="L504" s="4"/>
      <c r="V504" s="4"/>
    </row>
    <row r="505" spans="12:22" x14ac:dyDescent="0.25">
      <c r="L505" s="4"/>
      <c r="V505" s="4"/>
    </row>
    <row r="506" spans="12:22" x14ac:dyDescent="0.25">
      <c r="L506" s="4"/>
      <c r="V506" s="4"/>
    </row>
    <row r="507" spans="12:22" x14ac:dyDescent="0.25">
      <c r="L507" s="4"/>
      <c r="V507" s="4"/>
    </row>
    <row r="508" spans="12:22" x14ac:dyDescent="0.25">
      <c r="L508" s="4"/>
      <c r="V508" s="4"/>
    </row>
    <row r="509" spans="12:22" x14ac:dyDescent="0.25">
      <c r="L509" s="4"/>
      <c r="V509" s="4"/>
    </row>
    <row r="510" spans="12:22" x14ac:dyDescent="0.25">
      <c r="L510" s="4"/>
      <c r="V510" s="4"/>
    </row>
    <row r="511" spans="12:22" x14ac:dyDescent="0.25">
      <c r="L511" s="4"/>
      <c r="V511" s="4"/>
    </row>
    <row r="512" spans="12:22" x14ac:dyDescent="0.25">
      <c r="L512" s="4"/>
      <c r="V512" s="4"/>
    </row>
    <row r="513" spans="12:22" x14ac:dyDescent="0.25">
      <c r="L513" s="4"/>
      <c r="V513" s="4"/>
    </row>
    <row r="514" spans="12:22" x14ac:dyDescent="0.25">
      <c r="L514" s="4"/>
      <c r="V514" s="4"/>
    </row>
    <row r="515" spans="12:22" x14ac:dyDescent="0.25">
      <c r="L515" s="4"/>
      <c r="V515" s="4"/>
    </row>
    <row r="516" spans="12:22" x14ac:dyDescent="0.25">
      <c r="L516" s="4"/>
      <c r="V516" s="4"/>
    </row>
    <row r="517" spans="12:22" x14ac:dyDescent="0.25">
      <c r="L517" s="4"/>
      <c r="V517" s="4"/>
    </row>
    <row r="518" spans="12:22" x14ac:dyDescent="0.25">
      <c r="L518" s="4"/>
      <c r="V518" s="4"/>
    </row>
    <row r="519" spans="12:22" x14ac:dyDescent="0.25">
      <c r="L519" s="4"/>
      <c r="V519" s="4"/>
    </row>
    <row r="520" spans="12:22" x14ac:dyDescent="0.25">
      <c r="L520" s="4"/>
      <c r="V520" s="4"/>
    </row>
    <row r="521" spans="12:22" x14ac:dyDescent="0.25">
      <c r="L521" s="4"/>
      <c r="V521" s="4"/>
    </row>
    <row r="522" spans="12:22" x14ac:dyDescent="0.25">
      <c r="L522" s="4"/>
      <c r="V522" s="4"/>
    </row>
    <row r="523" spans="12:22" x14ac:dyDescent="0.25">
      <c r="L523" s="4"/>
      <c r="V523" s="4"/>
    </row>
    <row r="524" spans="12:22" x14ac:dyDescent="0.25">
      <c r="L524" s="4"/>
      <c r="V524" s="4"/>
    </row>
    <row r="525" spans="12:22" x14ac:dyDescent="0.25">
      <c r="L525" s="4"/>
      <c r="V525" s="4"/>
    </row>
    <row r="526" spans="12:22" x14ac:dyDescent="0.25">
      <c r="L526" s="4"/>
      <c r="V526" s="4"/>
    </row>
    <row r="527" spans="12:22" x14ac:dyDescent="0.25">
      <c r="L527" s="4"/>
      <c r="V527" s="4"/>
    </row>
    <row r="528" spans="12:22" x14ac:dyDescent="0.25">
      <c r="L528" s="4"/>
      <c r="V528" s="4"/>
    </row>
    <row r="529" spans="12:22" x14ac:dyDescent="0.25">
      <c r="L529" s="4"/>
      <c r="V529" s="4"/>
    </row>
    <row r="530" spans="12:22" x14ac:dyDescent="0.25">
      <c r="L530" s="4"/>
      <c r="V530" s="4"/>
    </row>
    <row r="531" spans="12:22" x14ac:dyDescent="0.25">
      <c r="L531" s="4"/>
      <c r="V531" s="4"/>
    </row>
    <row r="532" spans="12:22" x14ac:dyDescent="0.25">
      <c r="L532" s="4"/>
      <c r="V532" s="4"/>
    </row>
    <row r="533" spans="12:22" x14ac:dyDescent="0.25">
      <c r="L533" s="4"/>
      <c r="V533" s="4"/>
    </row>
    <row r="534" spans="12:22" x14ac:dyDescent="0.25">
      <c r="L534" s="4"/>
      <c r="V534" s="4"/>
    </row>
    <row r="535" spans="12:22" x14ac:dyDescent="0.25">
      <c r="L535" s="4"/>
      <c r="V535" s="4"/>
    </row>
    <row r="536" spans="12:22" x14ac:dyDescent="0.25">
      <c r="L536" s="4"/>
      <c r="V536" s="4"/>
    </row>
    <row r="537" spans="12:22" x14ac:dyDescent="0.25">
      <c r="L537" s="4"/>
      <c r="V537" s="4"/>
    </row>
    <row r="538" spans="12:22" x14ac:dyDescent="0.25">
      <c r="L538" s="4"/>
      <c r="V538" s="4"/>
    </row>
    <row r="539" spans="12:22" x14ac:dyDescent="0.25">
      <c r="L539" s="4"/>
      <c r="V539" s="4"/>
    </row>
    <row r="540" spans="12:22" x14ac:dyDescent="0.25">
      <c r="L540" s="4"/>
      <c r="V540" s="4"/>
    </row>
    <row r="541" spans="12:22" x14ac:dyDescent="0.25">
      <c r="L541" s="4"/>
      <c r="V541" s="4"/>
    </row>
    <row r="542" spans="12:22" x14ac:dyDescent="0.25">
      <c r="L542" s="4"/>
      <c r="V542" s="4"/>
    </row>
    <row r="543" spans="12:22" x14ac:dyDescent="0.25">
      <c r="L543" s="4"/>
      <c r="V543" s="4"/>
    </row>
    <row r="544" spans="12:22" x14ac:dyDescent="0.25">
      <c r="L544" s="4"/>
      <c r="V544" s="4"/>
    </row>
    <row r="545" spans="12:22" x14ac:dyDescent="0.25">
      <c r="L545" s="4"/>
      <c r="V545" s="4"/>
    </row>
    <row r="546" spans="12:22" x14ac:dyDescent="0.25">
      <c r="L546" s="4"/>
      <c r="V546" s="4"/>
    </row>
    <row r="547" spans="12:22" x14ac:dyDescent="0.25">
      <c r="L547" s="4"/>
      <c r="V547" s="4"/>
    </row>
    <row r="548" spans="12:22" x14ac:dyDescent="0.25">
      <c r="L548" s="4"/>
      <c r="V548" s="4"/>
    </row>
    <row r="549" spans="12:22" x14ac:dyDescent="0.25">
      <c r="L549" s="4"/>
      <c r="V549" s="4"/>
    </row>
    <row r="550" spans="12:22" x14ac:dyDescent="0.25">
      <c r="L550" s="4"/>
      <c r="V550" s="4"/>
    </row>
    <row r="551" spans="12:22" x14ac:dyDescent="0.25">
      <c r="L551" s="4"/>
      <c r="V551" s="4"/>
    </row>
    <row r="552" spans="12:22" x14ac:dyDescent="0.25">
      <c r="L552" s="4"/>
      <c r="V552" s="4"/>
    </row>
    <row r="553" spans="12:22" x14ac:dyDescent="0.25">
      <c r="L553" s="4"/>
      <c r="V553" s="4"/>
    </row>
    <row r="554" spans="12:22" x14ac:dyDescent="0.25">
      <c r="L554" s="4"/>
      <c r="V554" s="4"/>
    </row>
    <row r="555" spans="12:22" x14ac:dyDescent="0.25">
      <c r="L555" s="4"/>
      <c r="V555" s="4"/>
    </row>
    <row r="556" spans="12:22" x14ac:dyDescent="0.25">
      <c r="L556" s="4"/>
      <c r="V556" s="4"/>
    </row>
    <row r="557" spans="12:22" x14ac:dyDescent="0.25">
      <c r="L557" s="4"/>
      <c r="V557" s="4"/>
    </row>
    <row r="558" spans="12:22" x14ac:dyDescent="0.25">
      <c r="L558" s="4"/>
      <c r="V558" s="4"/>
    </row>
    <row r="559" spans="12:22" x14ac:dyDescent="0.25">
      <c r="L559" s="4"/>
      <c r="V559" s="4"/>
    </row>
    <row r="560" spans="12:22" x14ac:dyDescent="0.25">
      <c r="L560" s="4"/>
      <c r="V560" s="4"/>
    </row>
    <row r="561" spans="12:22" x14ac:dyDescent="0.25">
      <c r="L561" s="4"/>
      <c r="V561" s="4"/>
    </row>
    <row r="562" spans="12:22" x14ac:dyDescent="0.25">
      <c r="L562" s="4"/>
      <c r="V562" s="4"/>
    </row>
    <row r="563" spans="12:22" x14ac:dyDescent="0.25">
      <c r="L563" s="4"/>
      <c r="V563" s="4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"/>
  <sheetViews>
    <sheetView tabSelected="1" topLeftCell="A8" zoomScaleNormal="100" workbookViewId="0">
      <selection activeCell="J3" sqref="J3"/>
    </sheetView>
  </sheetViews>
  <sheetFormatPr defaultColWidth="8.85546875" defaultRowHeight="15" x14ac:dyDescent="0.25"/>
  <cols>
    <col min="1" max="1" width="6.28515625" bestFit="1" customWidth="1"/>
    <col min="2" max="2" width="6.140625" bestFit="1" customWidth="1"/>
    <col min="3" max="3" width="6.28515625" bestFit="1" customWidth="1"/>
    <col min="4" max="4" width="8.42578125" bestFit="1" customWidth="1"/>
    <col min="5" max="5" width="6.28515625" bestFit="1" customWidth="1"/>
    <col min="6" max="6" width="6.85546875" bestFit="1" customWidth="1"/>
    <col min="7" max="9" width="5.5703125" bestFit="1" customWidth="1"/>
    <col min="10" max="10" width="4.42578125" bestFit="1" customWidth="1"/>
    <col min="11" max="11" width="7.7109375" bestFit="1" customWidth="1"/>
    <col min="12" max="12" width="6.28515625" bestFit="1" customWidth="1"/>
    <col min="13" max="13" width="6.140625" bestFit="1" customWidth="1"/>
    <col min="14" max="14" width="6.28515625" bestFit="1" customWidth="1"/>
    <col min="15" max="15" width="8.42578125" bestFit="1" customWidth="1"/>
    <col min="16" max="16" width="6.28515625" bestFit="1" customWidth="1"/>
    <col min="17" max="17" width="6.85546875" bestFit="1" customWidth="1"/>
    <col min="18" max="20" width="5.5703125" bestFit="1" customWidth="1"/>
    <col min="21" max="21" width="4.42578125" bestFit="1" customWidth="1"/>
    <col min="22" max="22" width="7.7109375" bestFit="1" customWidth="1"/>
    <col min="23" max="23" width="6.28515625" bestFit="1" customWidth="1"/>
    <col min="24" max="24" width="6.140625" bestFit="1" customWidth="1"/>
    <col min="25" max="25" width="6.28515625" bestFit="1" customWidth="1"/>
    <col min="26" max="26" width="8.42578125" bestFit="1" customWidth="1"/>
    <col min="27" max="27" width="6.28515625" bestFit="1" customWidth="1"/>
    <col min="28" max="28" width="6.85546875" bestFit="1" customWidth="1"/>
    <col min="29" max="31" width="5.5703125" bestFit="1" customWidth="1"/>
    <col min="32" max="32" width="4.42578125" bestFit="1" customWidth="1"/>
    <col min="33" max="33" width="7.7109375" bestFit="1" customWidth="1"/>
  </cols>
  <sheetData>
    <row r="1" spans="1:33" s="24" customFormat="1" ht="16.5" thickBot="1" x14ac:dyDescent="0.3">
      <c r="A1" s="32" t="s">
        <v>0</v>
      </c>
      <c r="B1" s="22" t="s">
        <v>15</v>
      </c>
      <c r="C1" s="22" t="s">
        <v>1</v>
      </c>
      <c r="D1" s="22" t="s">
        <v>2</v>
      </c>
      <c r="E1" s="22" t="s">
        <v>3</v>
      </c>
      <c r="F1" s="33">
        <v>1</v>
      </c>
      <c r="G1" s="33">
        <v>0.75</v>
      </c>
      <c r="H1" s="33">
        <v>0.5</v>
      </c>
      <c r="I1" s="33">
        <v>0.25</v>
      </c>
      <c r="J1" s="33">
        <v>0</v>
      </c>
      <c r="K1" s="36" t="s">
        <v>4</v>
      </c>
      <c r="L1" s="32" t="s">
        <v>0</v>
      </c>
      <c r="M1" s="22" t="s">
        <v>15</v>
      </c>
      <c r="N1" s="22" t="s">
        <v>1</v>
      </c>
      <c r="O1" s="22" t="s">
        <v>2</v>
      </c>
      <c r="P1" s="22" t="s">
        <v>3</v>
      </c>
      <c r="Q1" s="33">
        <v>1</v>
      </c>
      <c r="R1" s="33">
        <v>0.75</v>
      </c>
      <c r="S1" s="33">
        <v>0.5</v>
      </c>
      <c r="T1" s="33">
        <v>0.25</v>
      </c>
      <c r="U1" s="33">
        <v>0</v>
      </c>
      <c r="V1" s="37" t="s">
        <v>4</v>
      </c>
      <c r="W1" s="21" t="s">
        <v>0</v>
      </c>
      <c r="X1" s="22" t="s">
        <v>15</v>
      </c>
      <c r="Y1" s="22" t="s">
        <v>1</v>
      </c>
      <c r="Z1" s="22" t="s">
        <v>2</v>
      </c>
      <c r="AA1" s="22" t="s">
        <v>3</v>
      </c>
      <c r="AB1" s="33">
        <v>1</v>
      </c>
      <c r="AC1" s="33">
        <v>0.75</v>
      </c>
      <c r="AD1" s="33">
        <v>0.5</v>
      </c>
      <c r="AE1" s="33">
        <v>0.25</v>
      </c>
      <c r="AF1" s="33">
        <v>0</v>
      </c>
      <c r="AG1" s="37" t="s">
        <v>4</v>
      </c>
    </row>
    <row r="2" spans="1:33" x14ac:dyDescent="0.25">
      <c r="A2" s="38" t="s">
        <v>16</v>
      </c>
      <c r="B2" s="39">
        <v>12</v>
      </c>
      <c r="C2" s="39">
        <v>17.3</v>
      </c>
      <c r="D2" s="39">
        <v>1.33</v>
      </c>
      <c r="E2" s="39">
        <v>12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40">
        <f t="shared" ref="K2:K33" si="0">SUM(G2:J2)</f>
        <v>0</v>
      </c>
      <c r="L2" s="38" t="s">
        <v>17</v>
      </c>
      <c r="M2" s="39">
        <v>12</v>
      </c>
      <c r="N2" s="39">
        <v>17.899999999999999</v>
      </c>
      <c r="O2" s="39">
        <v>1.21</v>
      </c>
      <c r="P2" s="39">
        <v>10</v>
      </c>
      <c r="Q2" s="39">
        <v>2</v>
      </c>
      <c r="R2" s="39">
        <v>0</v>
      </c>
      <c r="S2" s="39">
        <v>0</v>
      </c>
      <c r="T2" s="39">
        <v>0</v>
      </c>
      <c r="U2" s="39">
        <v>0</v>
      </c>
      <c r="V2" s="41">
        <f t="shared" ref="V2:V33" si="1">SUM(R2:U2)</f>
        <v>0</v>
      </c>
      <c r="W2" s="42" t="s">
        <v>18</v>
      </c>
      <c r="X2" s="39">
        <v>12</v>
      </c>
      <c r="Y2" s="39">
        <v>17.399999999999999</v>
      </c>
      <c r="Z2" s="39">
        <v>1.21</v>
      </c>
      <c r="AA2" s="39">
        <v>5</v>
      </c>
      <c r="AB2" s="39">
        <v>6</v>
      </c>
      <c r="AC2" s="39">
        <v>1</v>
      </c>
      <c r="AD2" s="39">
        <v>0</v>
      </c>
      <c r="AE2" s="39">
        <v>0</v>
      </c>
      <c r="AF2" s="39">
        <v>0</v>
      </c>
      <c r="AG2" s="41">
        <f t="shared" ref="AG2:AG33" si="2">SUM(AC2:AF2)</f>
        <v>1</v>
      </c>
    </row>
    <row r="3" spans="1:33" x14ac:dyDescent="0.25">
      <c r="A3" s="43" t="s">
        <v>16</v>
      </c>
      <c r="B3" s="44">
        <v>12</v>
      </c>
      <c r="C3" s="44">
        <v>17.600000000000001</v>
      </c>
      <c r="D3" s="44">
        <v>1.37</v>
      </c>
      <c r="E3" s="44">
        <v>4</v>
      </c>
      <c r="F3" s="44">
        <v>4</v>
      </c>
      <c r="G3" s="44">
        <v>0</v>
      </c>
      <c r="H3" s="44">
        <v>1</v>
      </c>
      <c r="I3" s="44">
        <v>3</v>
      </c>
      <c r="J3" s="44">
        <v>0</v>
      </c>
      <c r="K3" s="45">
        <f t="shared" si="0"/>
        <v>4</v>
      </c>
      <c r="L3" s="43" t="s">
        <v>17</v>
      </c>
      <c r="M3" s="44">
        <v>12</v>
      </c>
      <c r="N3" s="44">
        <v>19.7</v>
      </c>
      <c r="O3" s="44">
        <v>1.73</v>
      </c>
      <c r="P3" s="44">
        <v>12</v>
      </c>
      <c r="Q3" s="44">
        <v>0</v>
      </c>
      <c r="R3" s="44">
        <v>0</v>
      </c>
      <c r="S3" s="44">
        <v>0</v>
      </c>
      <c r="T3" s="44">
        <v>0</v>
      </c>
      <c r="U3" s="44">
        <v>0</v>
      </c>
      <c r="V3" s="46">
        <f t="shared" si="1"/>
        <v>0</v>
      </c>
      <c r="W3" s="47" t="s">
        <v>18</v>
      </c>
      <c r="X3" s="44">
        <v>12</v>
      </c>
      <c r="Y3" s="44">
        <v>19.2</v>
      </c>
      <c r="Z3" s="44">
        <v>1.51</v>
      </c>
      <c r="AA3" s="44">
        <v>1</v>
      </c>
      <c r="AB3" s="44">
        <v>11</v>
      </c>
      <c r="AC3" s="44">
        <v>0</v>
      </c>
      <c r="AD3" s="44">
        <v>0</v>
      </c>
      <c r="AE3" s="44">
        <v>0</v>
      </c>
      <c r="AF3" s="44">
        <v>0</v>
      </c>
      <c r="AG3" s="46">
        <f t="shared" si="2"/>
        <v>0</v>
      </c>
    </row>
    <row r="4" spans="1:33" x14ac:dyDescent="0.25">
      <c r="A4" s="43" t="s">
        <v>16</v>
      </c>
      <c r="B4" s="44">
        <v>12</v>
      </c>
      <c r="C4" s="44">
        <v>20.8</v>
      </c>
      <c r="D4" s="44">
        <v>2.06</v>
      </c>
      <c r="E4" s="44">
        <v>8</v>
      </c>
      <c r="F4" s="44">
        <v>4</v>
      </c>
      <c r="G4" s="44">
        <v>0</v>
      </c>
      <c r="H4" s="44">
        <v>0</v>
      </c>
      <c r="I4" s="44">
        <v>0</v>
      </c>
      <c r="J4" s="44">
        <v>0</v>
      </c>
      <c r="K4" s="45">
        <f t="shared" si="0"/>
        <v>0</v>
      </c>
      <c r="L4" s="43" t="s">
        <v>17</v>
      </c>
      <c r="M4" s="44">
        <v>12</v>
      </c>
      <c r="N4" s="44">
        <v>17</v>
      </c>
      <c r="O4" s="44">
        <v>1.37</v>
      </c>
      <c r="P4" s="44">
        <v>11</v>
      </c>
      <c r="Q4" s="44">
        <v>1</v>
      </c>
      <c r="R4" s="44">
        <v>0</v>
      </c>
      <c r="S4" s="44">
        <v>0</v>
      </c>
      <c r="T4" s="44">
        <v>0</v>
      </c>
      <c r="U4" s="44">
        <v>0</v>
      </c>
      <c r="V4" s="46">
        <f t="shared" si="1"/>
        <v>0</v>
      </c>
      <c r="W4" s="47" t="s">
        <v>18</v>
      </c>
      <c r="X4" s="44">
        <v>12</v>
      </c>
      <c r="Y4" s="44">
        <v>19.2</v>
      </c>
      <c r="Z4" s="44">
        <v>1.82</v>
      </c>
      <c r="AA4" s="44">
        <v>0</v>
      </c>
      <c r="AB4" s="44">
        <v>12</v>
      </c>
      <c r="AC4" s="44">
        <v>0</v>
      </c>
      <c r="AD4" s="44">
        <v>0</v>
      </c>
      <c r="AE4" s="44">
        <v>0</v>
      </c>
      <c r="AF4" s="44">
        <v>0</v>
      </c>
      <c r="AG4" s="46">
        <f t="shared" si="2"/>
        <v>0</v>
      </c>
    </row>
    <row r="5" spans="1:33" x14ac:dyDescent="0.25">
      <c r="A5" s="43" t="s">
        <v>16</v>
      </c>
      <c r="B5" s="44">
        <v>12</v>
      </c>
      <c r="C5" s="44">
        <v>18.3</v>
      </c>
      <c r="D5" s="44">
        <v>1.59</v>
      </c>
      <c r="E5" s="44">
        <v>7</v>
      </c>
      <c r="F5" s="44">
        <v>5</v>
      </c>
      <c r="G5" s="44">
        <v>0</v>
      </c>
      <c r="H5" s="44">
        <v>0</v>
      </c>
      <c r="I5" s="44">
        <v>0</v>
      </c>
      <c r="J5" s="44">
        <v>0</v>
      </c>
      <c r="K5" s="45">
        <f t="shared" si="0"/>
        <v>0</v>
      </c>
      <c r="L5" s="43" t="s">
        <v>17</v>
      </c>
      <c r="M5" s="44">
        <v>12</v>
      </c>
      <c r="N5" s="44">
        <v>18.8</v>
      </c>
      <c r="O5" s="44">
        <v>1.48</v>
      </c>
      <c r="P5" s="44">
        <v>11</v>
      </c>
      <c r="Q5" s="44">
        <v>1</v>
      </c>
      <c r="R5" s="44">
        <v>0</v>
      </c>
      <c r="S5" s="44">
        <v>0</v>
      </c>
      <c r="T5" s="44">
        <v>0</v>
      </c>
      <c r="U5" s="44">
        <v>0</v>
      </c>
      <c r="V5" s="46">
        <f t="shared" si="1"/>
        <v>0</v>
      </c>
      <c r="W5" s="47" t="s">
        <v>18</v>
      </c>
      <c r="X5" s="44">
        <v>12</v>
      </c>
      <c r="Y5" s="44">
        <v>18.5</v>
      </c>
      <c r="Z5" s="44">
        <v>1.3</v>
      </c>
      <c r="AA5" s="44">
        <v>7</v>
      </c>
      <c r="AB5" s="44">
        <v>3</v>
      </c>
      <c r="AC5" s="44">
        <v>1</v>
      </c>
      <c r="AD5" s="44">
        <v>0</v>
      </c>
      <c r="AE5" s="44">
        <v>1</v>
      </c>
      <c r="AF5" s="44">
        <v>0</v>
      </c>
      <c r="AG5" s="46">
        <f t="shared" si="2"/>
        <v>2</v>
      </c>
    </row>
    <row r="6" spans="1:33" x14ac:dyDescent="0.25">
      <c r="A6" s="43" t="s">
        <v>16</v>
      </c>
      <c r="B6" s="44">
        <v>12</v>
      </c>
      <c r="C6" s="44">
        <v>19.899999999999999</v>
      </c>
      <c r="D6" s="44">
        <v>1.7</v>
      </c>
      <c r="E6" s="44">
        <v>11</v>
      </c>
      <c r="F6" s="44">
        <v>1</v>
      </c>
      <c r="G6" s="44">
        <v>0</v>
      </c>
      <c r="H6" s="44">
        <v>0</v>
      </c>
      <c r="I6" s="44">
        <v>0</v>
      </c>
      <c r="J6" s="44">
        <v>0</v>
      </c>
      <c r="K6" s="45">
        <f t="shared" si="0"/>
        <v>0</v>
      </c>
      <c r="L6" s="43" t="s">
        <v>17</v>
      </c>
      <c r="M6" s="44">
        <v>12</v>
      </c>
      <c r="N6" s="44">
        <v>18.100000000000001</v>
      </c>
      <c r="O6" s="44">
        <v>1.45</v>
      </c>
      <c r="P6" s="44">
        <v>8</v>
      </c>
      <c r="Q6" s="44">
        <v>4</v>
      </c>
      <c r="R6" s="44">
        <v>0</v>
      </c>
      <c r="S6" s="44">
        <v>0</v>
      </c>
      <c r="T6" s="44">
        <v>0</v>
      </c>
      <c r="U6" s="44">
        <v>0</v>
      </c>
      <c r="V6" s="46">
        <f t="shared" si="1"/>
        <v>0</v>
      </c>
      <c r="W6" s="47" t="s">
        <v>18</v>
      </c>
      <c r="X6" s="44">
        <v>12</v>
      </c>
      <c r="Y6" s="44">
        <v>20</v>
      </c>
      <c r="Z6" s="44">
        <v>1.86</v>
      </c>
      <c r="AA6" s="44">
        <v>3</v>
      </c>
      <c r="AB6" s="44">
        <v>9</v>
      </c>
      <c r="AC6" s="44">
        <v>0</v>
      </c>
      <c r="AD6" s="44">
        <v>0</v>
      </c>
      <c r="AE6" s="44">
        <v>0</v>
      </c>
      <c r="AF6" s="44">
        <v>0</v>
      </c>
      <c r="AG6" s="46">
        <f t="shared" si="2"/>
        <v>0</v>
      </c>
    </row>
    <row r="7" spans="1:33" x14ac:dyDescent="0.25">
      <c r="A7" s="43" t="s">
        <v>16</v>
      </c>
      <c r="B7" s="44">
        <v>12</v>
      </c>
      <c r="C7" s="44">
        <v>19.600000000000001</v>
      </c>
      <c r="D7" s="44">
        <v>1.83</v>
      </c>
      <c r="E7" s="44">
        <v>9</v>
      </c>
      <c r="F7" s="44">
        <v>3</v>
      </c>
      <c r="G7" s="44">
        <v>0</v>
      </c>
      <c r="H7" s="44">
        <v>0</v>
      </c>
      <c r="I7" s="44">
        <v>0</v>
      </c>
      <c r="J7" s="44">
        <v>0</v>
      </c>
      <c r="K7" s="45">
        <f t="shared" si="0"/>
        <v>0</v>
      </c>
      <c r="L7" s="43" t="s">
        <v>17</v>
      </c>
      <c r="M7" s="44">
        <v>12</v>
      </c>
      <c r="N7" s="44">
        <v>17.3</v>
      </c>
      <c r="O7" s="44">
        <v>1.29</v>
      </c>
      <c r="P7" s="44">
        <v>9</v>
      </c>
      <c r="Q7" s="44">
        <v>3</v>
      </c>
      <c r="R7" s="44">
        <v>0</v>
      </c>
      <c r="S7" s="44">
        <v>0</v>
      </c>
      <c r="T7" s="44">
        <v>0</v>
      </c>
      <c r="U7" s="44">
        <v>0</v>
      </c>
      <c r="V7" s="46">
        <f t="shared" si="1"/>
        <v>0</v>
      </c>
      <c r="W7" s="47" t="s">
        <v>18</v>
      </c>
      <c r="X7" s="44">
        <v>12</v>
      </c>
      <c r="Y7" s="44">
        <v>16.7</v>
      </c>
      <c r="Z7" s="44">
        <v>1.08</v>
      </c>
      <c r="AA7" s="44">
        <v>12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6">
        <f t="shared" si="2"/>
        <v>0</v>
      </c>
    </row>
    <row r="8" spans="1:33" x14ac:dyDescent="0.25">
      <c r="A8" s="43" t="s">
        <v>16</v>
      </c>
      <c r="B8" s="44">
        <v>12</v>
      </c>
      <c r="C8" s="44">
        <v>17.899999999999999</v>
      </c>
      <c r="D8" s="44">
        <v>1.41</v>
      </c>
      <c r="E8" s="44">
        <v>9</v>
      </c>
      <c r="F8" s="44">
        <v>3</v>
      </c>
      <c r="G8" s="44">
        <v>0</v>
      </c>
      <c r="H8" s="44">
        <v>0</v>
      </c>
      <c r="I8" s="44">
        <v>0</v>
      </c>
      <c r="J8" s="44">
        <v>0</v>
      </c>
      <c r="K8" s="45">
        <f t="shared" si="0"/>
        <v>0</v>
      </c>
      <c r="L8" s="43" t="s">
        <v>17</v>
      </c>
      <c r="M8" s="44">
        <v>12</v>
      </c>
      <c r="N8" s="44">
        <v>19.8</v>
      </c>
      <c r="O8" s="44">
        <v>1.85</v>
      </c>
      <c r="P8" s="44">
        <v>10</v>
      </c>
      <c r="Q8" s="44">
        <v>1</v>
      </c>
      <c r="R8" s="44">
        <v>1</v>
      </c>
      <c r="S8" s="44">
        <v>0</v>
      </c>
      <c r="T8" s="44">
        <v>0</v>
      </c>
      <c r="U8" s="44">
        <v>0</v>
      </c>
      <c r="V8" s="46">
        <f t="shared" si="1"/>
        <v>1</v>
      </c>
      <c r="W8" s="47" t="s">
        <v>18</v>
      </c>
      <c r="X8" s="44">
        <v>12</v>
      </c>
      <c r="Y8" s="44">
        <v>16.100000000000001</v>
      </c>
      <c r="Z8" s="44">
        <v>0.93</v>
      </c>
      <c r="AA8" s="44">
        <v>9</v>
      </c>
      <c r="AB8" s="44">
        <v>3</v>
      </c>
      <c r="AC8" s="44">
        <v>0</v>
      </c>
      <c r="AD8" s="44">
        <v>0</v>
      </c>
      <c r="AE8" s="44">
        <v>0</v>
      </c>
      <c r="AF8" s="44">
        <v>0</v>
      </c>
      <c r="AG8" s="46">
        <f t="shared" si="2"/>
        <v>0</v>
      </c>
    </row>
    <row r="9" spans="1:33" x14ac:dyDescent="0.25">
      <c r="A9" s="43" t="s">
        <v>16</v>
      </c>
      <c r="B9" s="44">
        <v>12</v>
      </c>
      <c r="C9" s="44">
        <v>17.899999999999999</v>
      </c>
      <c r="D9" s="44">
        <v>1.43</v>
      </c>
      <c r="E9" s="44">
        <v>11</v>
      </c>
      <c r="F9" s="44">
        <v>1</v>
      </c>
      <c r="G9" s="44">
        <v>0</v>
      </c>
      <c r="H9" s="44">
        <v>0</v>
      </c>
      <c r="I9" s="44">
        <v>0</v>
      </c>
      <c r="J9" s="44">
        <v>0</v>
      </c>
      <c r="K9" s="45">
        <f t="shared" si="0"/>
        <v>0</v>
      </c>
      <c r="L9" s="43" t="s">
        <v>17</v>
      </c>
      <c r="M9" s="44">
        <v>12</v>
      </c>
      <c r="N9" s="44">
        <v>20.5</v>
      </c>
      <c r="O9" s="44">
        <v>2.29</v>
      </c>
      <c r="P9" s="44">
        <v>12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6">
        <f t="shared" si="1"/>
        <v>0</v>
      </c>
      <c r="W9" s="47" t="s">
        <v>18</v>
      </c>
      <c r="X9" s="44">
        <v>12</v>
      </c>
      <c r="Y9" s="44">
        <v>18.899999999999999</v>
      </c>
      <c r="Z9" s="44">
        <v>1.58</v>
      </c>
      <c r="AA9" s="44">
        <v>4</v>
      </c>
      <c r="AB9" s="44">
        <v>8</v>
      </c>
      <c r="AC9" s="44">
        <v>0</v>
      </c>
      <c r="AD9" s="44">
        <v>0</v>
      </c>
      <c r="AE9" s="44">
        <v>0</v>
      </c>
      <c r="AF9" s="44">
        <v>0</v>
      </c>
      <c r="AG9" s="46">
        <f t="shared" si="2"/>
        <v>0</v>
      </c>
    </row>
    <row r="10" spans="1:33" x14ac:dyDescent="0.25">
      <c r="A10" s="43" t="s">
        <v>16</v>
      </c>
      <c r="B10" s="44">
        <v>12</v>
      </c>
      <c r="C10" s="44">
        <v>16.100000000000001</v>
      </c>
      <c r="D10" s="44">
        <v>1.02</v>
      </c>
      <c r="E10" s="44">
        <v>7</v>
      </c>
      <c r="F10" s="44">
        <v>5</v>
      </c>
      <c r="G10" s="44">
        <v>0</v>
      </c>
      <c r="H10" s="44">
        <v>0</v>
      </c>
      <c r="I10" s="44">
        <v>0</v>
      </c>
      <c r="J10" s="44">
        <v>0</v>
      </c>
      <c r="K10" s="45">
        <f t="shared" si="0"/>
        <v>0</v>
      </c>
      <c r="L10" s="43" t="s">
        <v>17</v>
      </c>
      <c r="M10" s="44">
        <v>12</v>
      </c>
      <c r="N10" s="44">
        <v>18.3</v>
      </c>
      <c r="O10" s="44">
        <v>1.85</v>
      </c>
      <c r="P10" s="44">
        <v>11</v>
      </c>
      <c r="Q10" s="44">
        <v>1</v>
      </c>
      <c r="R10" s="44">
        <v>0</v>
      </c>
      <c r="S10" s="44">
        <v>0</v>
      </c>
      <c r="T10" s="44">
        <v>0</v>
      </c>
      <c r="U10" s="44">
        <v>0</v>
      </c>
      <c r="V10" s="46">
        <f t="shared" si="1"/>
        <v>0</v>
      </c>
      <c r="W10" s="47" t="s">
        <v>18</v>
      </c>
      <c r="X10" s="44">
        <v>12</v>
      </c>
      <c r="Y10" s="44">
        <v>18.399999999999999</v>
      </c>
      <c r="Z10" s="44">
        <v>1.48</v>
      </c>
      <c r="AA10" s="44">
        <v>5</v>
      </c>
      <c r="AB10" s="44">
        <v>7</v>
      </c>
      <c r="AC10" s="44">
        <v>0</v>
      </c>
      <c r="AD10" s="44">
        <v>0</v>
      </c>
      <c r="AE10" s="44">
        <v>0</v>
      </c>
      <c r="AF10" s="44">
        <v>0</v>
      </c>
      <c r="AG10" s="46">
        <f t="shared" si="2"/>
        <v>0</v>
      </c>
    </row>
    <row r="11" spans="1:33" x14ac:dyDescent="0.25">
      <c r="A11" s="43" t="s">
        <v>16</v>
      </c>
      <c r="B11" s="44">
        <v>12</v>
      </c>
      <c r="C11" s="44">
        <v>17</v>
      </c>
      <c r="D11" s="44">
        <v>1.21</v>
      </c>
      <c r="E11" s="44">
        <v>9</v>
      </c>
      <c r="F11" s="44">
        <v>3</v>
      </c>
      <c r="G11" s="44">
        <v>0</v>
      </c>
      <c r="H11" s="44">
        <v>0</v>
      </c>
      <c r="I11" s="44">
        <v>0</v>
      </c>
      <c r="J11" s="44">
        <v>0</v>
      </c>
      <c r="K11" s="45">
        <f t="shared" si="0"/>
        <v>0</v>
      </c>
      <c r="L11" s="43" t="s">
        <v>17</v>
      </c>
      <c r="M11" s="44">
        <v>12</v>
      </c>
      <c r="N11" s="44">
        <v>18.399999999999999</v>
      </c>
      <c r="O11" s="44">
        <v>1.54</v>
      </c>
      <c r="P11" s="44">
        <v>3</v>
      </c>
      <c r="Q11" s="44">
        <v>8</v>
      </c>
      <c r="R11" s="44">
        <v>0</v>
      </c>
      <c r="S11" s="44">
        <v>0</v>
      </c>
      <c r="T11" s="44">
        <v>0</v>
      </c>
      <c r="U11" s="44">
        <v>0</v>
      </c>
      <c r="V11" s="46">
        <f t="shared" si="1"/>
        <v>0</v>
      </c>
      <c r="W11" s="47" t="s">
        <v>18</v>
      </c>
      <c r="X11" s="44">
        <v>12</v>
      </c>
      <c r="Y11" s="44">
        <v>20.399999999999999</v>
      </c>
      <c r="Z11" s="44">
        <v>1.81</v>
      </c>
      <c r="AA11" s="44">
        <v>0</v>
      </c>
      <c r="AB11" s="44">
        <v>12</v>
      </c>
      <c r="AC11" s="44">
        <v>0</v>
      </c>
      <c r="AD11" s="44">
        <v>0</v>
      </c>
      <c r="AE11" s="44">
        <v>0</v>
      </c>
      <c r="AF11" s="44">
        <v>0</v>
      </c>
      <c r="AG11" s="46">
        <f t="shared" si="2"/>
        <v>0</v>
      </c>
    </row>
    <row r="12" spans="1:33" x14ac:dyDescent="0.25">
      <c r="A12" s="43" t="s">
        <v>16</v>
      </c>
      <c r="B12" s="44">
        <v>12</v>
      </c>
      <c r="C12" s="44">
        <v>16.899999999999999</v>
      </c>
      <c r="D12" s="44">
        <v>1.24</v>
      </c>
      <c r="E12" s="44">
        <v>9</v>
      </c>
      <c r="F12" s="44">
        <v>3</v>
      </c>
      <c r="G12" s="44">
        <v>0</v>
      </c>
      <c r="H12" s="44">
        <v>0</v>
      </c>
      <c r="I12" s="44">
        <v>0</v>
      </c>
      <c r="J12" s="44">
        <v>0</v>
      </c>
      <c r="K12" s="45">
        <f t="shared" si="0"/>
        <v>0</v>
      </c>
      <c r="L12" s="43" t="s">
        <v>17</v>
      </c>
      <c r="M12" s="44">
        <v>12</v>
      </c>
      <c r="N12" s="44">
        <v>15.5</v>
      </c>
      <c r="O12" s="44">
        <v>1.95</v>
      </c>
      <c r="P12" s="44">
        <v>9</v>
      </c>
      <c r="Q12" s="44">
        <v>3</v>
      </c>
      <c r="R12" s="44">
        <v>0</v>
      </c>
      <c r="S12" s="44">
        <v>0</v>
      </c>
      <c r="T12" s="44">
        <v>0</v>
      </c>
      <c r="U12" s="44">
        <v>0</v>
      </c>
      <c r="V12" s="46">
        <f t="shared" si="1"/>
        <v>0</v>
      </c>
      <c r="W12" s="47" t="s">
        <v>18</v>
      </c>
      <c r="X12" s="44">
        <v>12</v>
      </c>
      <c r="Y12" s="44">
        <v>16.899999999999999</v>
      </c>
      <c r="Z12" s="44">
        <v>1.4</v>
      </c>
      <c r="AA12" s="44">
        <v>8</v>
      </c>
      <c r="AB12" s="44">
        <v>3</v>
      </c>
      <c r="AC12" s="44">
        <v>1</v>
      </c>
      <c r="AD12" s="44">
        <v>0</v>
      </c>
      <c r="AE12" s="44">
        <v>0</v>
      </c>
      <c r="AF12" s="44">
        <v>0</v>
      </c>
      <c r="AG12" s="46">
        <f t="shared" si="2"/>
        <v>1</v>
      </c>
    </row>
    <row r="13" spans="1:33" x14ac:dyDescent="0.25">
      <c r="A13" s="43" t="s">
        <v>16</v>
      </c>
      <c r="B13" s="44">
        <v>12</v>
      </c>
      <c r="C13" s="44">
        <v>17.600000000000001</v>
      </c>
      <c r="D13" s="44">
        <v>1.43</v>
      </c>
      <c r="E13" s="44">
        <v>6</v>
      </c>
      <c r="F13" s="44">
        <v>6</v>
      </c>
      <c r="G13" s="44">
        <v>0</v>
      </c>
      <c r="H13" s="44">
        <v>0</v>
      </c>
      <c r="I13" s="44">
        <v>0</v>
      </c>
      <c r="J13" s="44">
        <v>0</v>
      </c>
      <c r="K13" s="45">
        <f t="shared" si="0"/>
        <v>0</v>
      </c>
      <c r="L13" s="43" t="s">
        <v>17</v>
      </c>
      <c r="M13" s="44">
        <v>12</v>
      </c>
      <c r="N13" s="44">
        <v>17.100000000000001</v>
      </c>
      <c r="O13" s="44">
        <v>1.57</v>
      </c>
      <c r="P13" s="44">
        <v>10</v>
      </c>
      <c r="Q13" s="44">
        <v>2</v>
      </c>
      <c r="R13" s="44">
        <v>0</v>
      </c>
      <c r="S13" s="44">
        <v>0</v>
      </c>
      <c r="T13" s="44">
        <v>0</v>
      </c>
      <c r="U13" s="44">
        <v>0</v>
      </c>
      <c r="V13" s="46">
        <f t="shared" si="1"/>
        <v>0</v>
      </c>
      <c r="W13" s="47" t="s">
        <v>18</v>
      </c>
      <c r="X13" s="44">
        <v>12</v>
      </c>
      <c r="Y13" s="44">
        <v>20.100000000000001</v>
      </c>
      <c r="Z13" s="44">
        <v>1.79</v>
      </c>
      <c r="AA13" s="44">
        <v>3</v>
      </c>
      <c r="AB13" s="44">
        <v>9</v>
      </c>
      <c r="AC13" s="44">
        <v>0</v>
      </c>
      <c r="AD13" s="44">
        <v>0</v>
      </c>
      <c r="AE13" s="44">
        <v>0</v>
      </c>
      <c r="AF13" s="44">
        <v>0</v>
      </c>
      <c r="AG13" s="46">
        <f t="shared" si="2"/>
        <v>0</v>
      </c>
    </row>
    <row r="14" spans="1:33" x14ac:dyDescent="0.25">
      <c r="A14" s="43" t="s">
        <v>16</v>
      </c>
      <c r="B14" s="44">
        <v>12</v>
      </c>
      <c r="C14" s="44">
        <v>16</v>
      </c>
      <c r="D14" s="44">
        <v>0.96</v>
      </c>
      <c r="E14" s="44">
        <v>10</v>
      </c>
      <c r="F14" s="44">
        <v>1</v>
      </c>
      <c r="G14" s="44">
        <v>1</v>
      </c>
      <c r="H14" s="44">
        <v>0</v>
      </c>
      <c r="I14" s="44">
        <v>0</v>
      </c>
      <c r="J14" s="44">
        <v>0</v>
      </c>
      <c r="K14" s="45">
        <f t="shared" si="0"/>
        <v>1</v>
      </c>
      <c r="L14" s="43" t="s">
        <v>17</v>
      </c>
      <c r="M14" s="44">
        <v>12</v>
      </c>
      <c r="N14" s="44">
        <v>16.7</v>
      </c>
      <c r="O14" s="44">
        <v>1.31</v>
      </c>
      <c r="P14" s="44">
        <v>9</v>
      </c>
      <c r="Q14" s="44">
        <v>3</v>
      </c>
      <c r="R14" s="44">
        <v>0</v>
      </c>
      <c r="S14" s="44">
        <v>0</v>
      </c>
      <c r="T14" s="44">
        <v>0</v>
      </c>
      <c r="U14" s="44">
        <v>0</v>
      </c>
      <c r="V14" s="46">
        <f t="shared" si="1"/>
        <v>0</v>
      </c>
      <c r="W14" s="47" t="s">
        <v>18</v>
      </c>
      <c r="X14" s="44">
        <v>12</v>
      </c>
      <c r="Y14" s="44">
        <v>18.100000000000001</v>
      </c>
      <c r="Z14" s="44">
        <v>1.58</v>
      </c>
      <c r="AA14" s="44">
        <v>5</v>
      </c>
      <c r="AB14" s="44">
        <v>7</v>
      </c>
      <c r="AC14" s="44">
        <v>0</v>
      </c>
      <c r="AD14" s="44">
        <v>0</v>
      </c>
      <c r="AE14" s="44">
        <v>0</v>
      </c>
      <c r="AF14" s="44">
        <v>0</v>
      </c>
      <c r="AG14" s="46">
        <f t="shared" si="2"/>
        <v>0</v>
      </c>
    </row>
    <row r="15" spans="1:33" x14ac:dyDescent="0.25">
      <c r="A15" s="43" t="s">
        <v>16</v>
      </c>
      <c r="B15" s="44">
        <v>12</v>
      </c>
      <c r="C15" s="44">
        <v>17.5</v>
      </c>
      <c r="D15" s="44">
        <v>1.33</v>
      </c>
      <c r="E15" s="44">
        <v>8</v>
      </c>
      <c r="F15" s="44">
        <v>4</v>
      </c>
      <c r="G15" s="44">
        <v>0</v>
      </c>
      <c r="H15" s="44">
        <v>0</v>
      </c>
      <c r="I15" s="44">
        <v>0</v>
      </c>
      <c r="J15" s="44">
        <v>0</v>
      </c>
      <c r="K15" s="45">
        <f t="shared" si="0"/>
        <v>0</v>
      </c>
      <c r="L15" s="43" t="s">
        <v>17</v>
      </c>
      <c r="M15" s="44">
        <v>12</v>
      </c>
      <c r="N15" s="44">
        <v>18.3</v>
      </c>
      <c r="O15" s="44">
        <v>18.3</v>
      </c>
      <c r="P15" s="44">
        <v>9</v>
      </c>
      <c r="Q15" s="44">
        <v>2</v>
      </c>
      <c r="R15" s="44">
        <v>1</v>
      </c>
      <c r="S15" s="44">
        <v>0</v>
      </c>
      <c r="T15" s="44">
        <v>0</v>
      </c>
      <c r="U15" s="44">
        <v>0</v>
      </c>
      <c r="V15" s="46">
        <f t="shared" si="1"/>
        <v>1</v>
      </c>
      <c r="W15" s="47" t="s">
        <v>18</v>
      </c>
      <c r="X15" s="44">
        <v>12</v>
      </c>
      <c r="Y15" s="44">
        <v>17.7</v>
      </c>
      <c r="Z15" s="44">
        <v>1.38</v>
      </c>
      <c r="AA15" s="44">
        <v>3</v>
      </c>
      <c r="AB15" s="44">
        <v>8</v>
      </c>
      <c r="AC15" s="44">
        <v>0</v>
      </c>
      <c r="AD15" s="44">
        <v>0</v>
      </c>
      <c r="AE15" s="44">
        <v>1</v>
      </c>
      <c r="AF15" s="44">
        <v>0</v>
      </c>
      <c r="AG15" s="46">
        <f t="shared" si="2"/>
        <v>1</v>
      </c>
    </row>
    <row r="16" spans="1:33" x14ac:dyDescent="0.25">
      <c r="A16" s="43" t="s">
        <v>16</v>
      </c>
      <c r="B16" s="44">
        <v>12</v>
      </c>
      <c r="C16" s="44">
        <v>20.2</v>
      </c>
      <c r="D16" s="44">
        <v>1.78</v>
      </c>
      <c r="E16" s="44">
        <v>6</v>
      </c>
      <c r="F16" s="44">
        <v>6</v>
      </c>
      <c r="G16" s="44">
        <v>0</v>
      </c>
      <c r="H16" s="44">
        <v>0</v>
      </c>
      <c r="I16" s="44">
        <v>0</v>
      </c>
      <c r="J16" s="44">
        <v>0</v>
      </c>
      <c r="K16" s="45">
        <f t="shared" si="0"/>
        <v>0</v>
      </c>
      <c r="L16" s="43" t="s">
        <v>17</v>
      </c>
      <c r="M16" s="44">
        <v>12</v>
      </c>
      <c r="N16" s="44">
        <v>21.3</v>
      </c>
      <c r="O16" s="44">
        <v>21.3</v>
      </c>
      <c r="P16" s="44">
        <v>6</v>
      </c>
      <c r="Q16" s="44">
        <v>6</v>
      </c>
      <c r="R16" s="44">
        <v>0</v>
      </c>
      <c r="S16" s="44">
        <v>0</v>
      </c>
      <c r="T16" s="44">
        <v>0</v>
      </c>
      <c r="U16" s="44">
        <v>0</v>
      </c>
      <c r="V16" s="46">
        <f t="shared" si="1"/>
        <v>0</v>
      </c>
      <c r="W16" s="47" t="s">
        <v>18</v>
      </c>
      <c r="X16" s="44">
        <v>12</v>
      </c>
      <c r="Y16" s="44">
        <v>17.899999999999999</v>
      </c>
      <c r="Z16" s="44">
        <v>1.33</v>
      </c>
      <c r="AA16" s="44">
        <v>9</v>
      </c>
      <c r="AB16" s="44">
        <v>3</v>
      </c>
      <c r="AC16" s="44">
        <v>0</v>
      </c>
      <c r="AD16" s="44">
        <v>0</v>
      </c>
      <c r="AE16" s="44">
        <v>0</v>
      </c>
      <c r="AF16" s="44">
        <v>0</v>
      </c>
      <c r="AG16" s="46">
        <f t="shared" si="2"/>
        <v>0</v>
      </c>
    </row>
    <row r="17" spans="1:33" x14ac:dyDescent="0.25">
      <c r="A17" s="43" t="s">
        <v>16</v>
      </c>
      <c r="B17" s="44">
        <v>12</v>
      </c>
      <c r="C17" s="44">
        <v>18.8</v>
      </c>
      <c r="D17" s="44">
        <v>1.79</v>
      </c>
      <c r="E17" s="44">
        <v>8</v>
      </c>
      <c r="F17" s="44">
        <v>4</v>
      </c>
      <c r="G17" s="44">
        <v>0</v>
      </c>
      <c r="H17" s="44">
        <v>0</v>
      </c>
      <c r="I17" s="44">
        <v>0</v>
      </c>
      <c r="J17" s="44">
        <v>0</v>
      </c>
      <c r="K17" s="45">
        <f t="shared" si="0"/>
        <v>0</v>
      </c>
      <c r="L17" s="43" t="s">
        <v>17</v>
      </c>
      <c r="M17" s="44">
        <v>12</v>
      </c>
      <c r="N17" s="44">
        <v>17</v>
      </c>
      <c r="O17" s="44">
        <v>17</v>
      </c>
      <c r="P17" s="44">
        <v>11</v>
      </c>
      <c r="Q17" s="44">
        <v>1</v>
      </c>
      <c r="R17" s="44">
        <v>0</v>
      </c>
      <c r="S17" s="44">
        <v>0</v>
      </c>
      <c r="T17" s="44">
        <v>0</v>
      </c>
      <c r="U17" s="44">
        <v>0</v>
      </c>
      <c r="V17" s="46">
        <f t="shared" si="1"/>
        <v>0</v>
      </c>
      <c r="W17" s="47" t="s">
        <v>18</v>
      </c>
      <c r="X17" s="44">
        <v>12</v>
      </c>
      <c r="Y17" s="44">
        <v>18.7</v>
      </c>
      <c r="Z17" s="44">
        <v>1.52</v>
      </c>
      <c r="AA17" s="44">
        <v>2</v>
      </c>
      <c r="AB17" s="44">
        <v>10</v>
      </c>
      <c r="AC17" s="44">
        <v>0</v>
      </c>
      <c r="AD17" s="44">
        <v>0</v>
      </c>
      <c r="AE17" s="44">
        <v>0</v>
      </c>
      <c r="AF17" s="44">
        <v>0</v>
      </c>
      <c r="AG17" s="46">
        <f t="shared" si="2"/>
        <v>0</v>
      </c>
    </row>
    <row r="18" spans="1:33" x14ac:dyDescent="0.25">
      <c r="A18" s="43" t="s">
        <v>16</v>
      </c>
      <c r="B18" s="44">
        <v>12</v>
      </c>
      <c r="C18" s="44">
        <v>16.7</v>
      </c>
      <c r="D18" s="44">
        <v>1.22</v>
      </c>
      <c r="E18" s="44">
        <v>12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5">
        <f t="shared" si="0"/>
        <v>0</v>
      </c>
      <c r="L18" s="43" t="s">
        <v>17</v>
      </c>
      <c r="M18" s="44">
        <v>12</v>
      </c>
      <c r="N18" s="44">
        <v>18</v>
      </c>
      <c r="O18" s="44">
        <v>18</v>
      </c>
      <c r="P18" s="44">
        <v>12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6">
        <f t="shared" si="1"/>
        <v>0</v>
      </c>
      <c r="W18" s="47" t="s">
        <v>18</v>
      </c>
      <c r="X18" s="44">
        <v>12</v>
      </c>
      <c r="Y18" s="44">
        <v>18.399999999999999</v>
      </c>
      <c r="Z18" s="44">
        <v>1.53</v>
      </c>
      <c r="AA18" s="44">
        <v>3</v>
      </c>
      <c r="AB18" s="44">
        <v>9</v>
      </c>
      <c r="AC18" s="44">
        <v>0</v>
      </c>
      <c r="AD18" s="44">
        <v>0</v>
      </c>
      <c r="AE18" s="44">
        <v>0</v>
      </c>
      <c r="AF18" s="44">
        <v>0</v>
      </c>
      <c r="AG18" s="46">
        <f t="shared" si="2"/>
        <v>0</v>
      </c>
    </row>
    <row r="19" spans="1:33" x14ac:dyDescent="0.25">
      <c r="A19" s="43" t="s">
        <v>16</v>
      </c>
      <c r="B19" s="44">
        <v>12</v>
      </c>
      <c r="C19" s="44">
        <v>16.8</v>
      </c>
      <c r="D19" s="44">
        <v>1.1299999999999999</v>
      </c>
      <c r="E19" s="44">
        <v>11</v>
      </c>
      <c r="F19" s="44">
        <v>0</v>
      </c>
      <c r="G19" s="44">
        <v>1</v>
      </c>
      <c r="H19" s="44">
        <v>0</v>
      </c>
      <c r="I19" s="44">
        <v>0</v>
      </c>
      <c r="J19" s="44">
        <v>0</v>
      </c>
      <c r="K19" s="45">
        <f t="shared" si="0"/>
        <v>1</v>
      </c>
      <c r="L19" s="43" t="s">
        <v>17</v>
      </c>
      <c r="M19" s="44">
        <v>12</v>
      </c>
      <c r="N19" s="44">
        <v>16</v>
      </c>
      <c r="O19" s="44">
        <v>16</v>
      </c>
      <c r="P19" s="44">
        <v>11</v>
      </c>
      <c r="Q19" s="44">
        <v>0</v>
      </c>
      <c r="R19" s="44">
        <v>0</v>
      </c>
      <c r="S19" s="44">
        <v>1</v>
      </c>
      <c r="T19" s="44">
        <v>0</v>
      </c>
      <c r="U19" s="44">
        <v>0</v>
      </c>
      <c r="V19" s="46">
        <f t="shared" si="1"/>
        <v>1</v>
      </c>
      <c r="W19" s="47" t="s">
        <v>18</v>
      </c>
      <c r="X19" s="44">
        <v>12</v>
      </c>
      <c r="Y19" s="44">
        <v>16.8</v>
      </c>
      <c r="Z19" s="44">
        <v>1.1200000000000001</v>
      </c>
      <c r="AA19" s="44">
        <v>6</v>
      </c>
      <c r="AB19" s="44">
        <v>6</v>
      </c>
      <c r="AC19" s="44">
        <v>0</v>
      </c>
      <c r="AD19" s="44">
        <v>0</v>
      </c>
      <c r="AE19" s="44">
        <v>0</v>
      </c>
      <c r="AF19" s="44">
        <v>0</v>
      </c>
      <c r="AG19" s="46">
        <f t="shared" si="2"/>
        <v>0</v>
      </c>
    </row>
    <row r="20" spans="1:33" x14ac:dyDescent="0.25">
      <c r="A20" s="43" t="s">
        <v>16</v>
      </c>
      <c r="B20" s="44">
        <v>12</v>
      </c>
      <c r="C20" s="44">
        <v>16</v>
      </c>
      <c r="D20" s="44">
        <v>0.96</v>
      </c>
      <c r="E20" s="44">
        <v>7</v>
      </c>
      <c r="F20" s="44">
        <v>4</v>
      </c>
      <c r="G20" s="44">
        <v>0</v>
      </c>
      <c r="H20" s="44">
        <v>1</v>
      </c>
      <c r="I20" s="44">
        <v>0</v>
      </c>
      <c r="J20" s="44">
        <v>0</v>
      </c>
      <c r="K20" s="45">
        <f t="shared" si="0"/>
        <v>1</v>
      </c>
      <c r="L20" s="43" t="s">
        <v>17</v>
      </c>
      <c r="M20" s="44">
        <v>12</v>
      </c>
      <c r="N20" s="44">
        <v>20.399999999999999</v>
      </c>
      <c r="O20" s="44">
        <v>20.399999999999999</v>
      </c>
      <c r="P20" s="44">
        <v>10</v>
      </c>
      <c r="Q20" s="44">
        <v>2</v>
      </c>
      <c r="R20" s="44">
        <v>0</v>
      </c>
      <c r="S20" s="44">
        <v>0</v>
      </c>
      <c r="T20" s="44">
        <v>0</v>
      </c>
      <c r="U20" s="44">
        <v>0</v>
      </c>
      <c r="V20" s="46">
        <f t="shared" si="1"/>
        <v>0</v>
      </c>
      <c r="W20" s="47" t="s">
        <v>18</v>
      </c>
      <c r="X20" s="44">
        <v>12</v>
      </c>
      <c r="Y20" s="44">
        <v>16.8</v>
      </c>
      <c r="Z20" s="44">
        <v>0.97</v>
      </c>
      <c r="AA20" s="44">
        <v>4</v>
      </c>
      <c r="AB20" s="44">
        <v>8</v>
      </c>
      <c r="AC20" s="44">
        <v>0</v>
      </c>
      <c r="AD20" s="44">
        <v>0</v>
      </c>
      <c r="AE20" s="44">
        <v>0</v>
      </c>
      <c r="AF20" s="44">
        <v>0</v>
      </c>
      <c r="AG20" s="46">
        <f t="shared" si="2"/>
        <v>0</v>
      </c>
    </row>
    <row r="21" spans="1:33" x14ac:dyDescent="0.25">
      <c r="A21" s="43" t="s">
        <v>16</v>
      </c>
      <c r="B21" s="44">
        <v>12</v>
      </c>
      <c r="C21" s="44">
        <v>17.5</v>
      </c>
      <c r="D21" s="44">
        <v>1.29</v>
      </c>
      <c r="E21" s="44">
        <v>5</v>
      </c>
      <c r="F21" s="44">
        <v>7</v>
      </c>
      <c r="G21" s="44">
        <v>0</v>
      </c>
      <c r="H21" s="44">
        <v>0</v>
      </c>
      <c r="I21" s="44">
        <v>0</v>
      </c>
      <c r="J21" s="44">
        <v>0</v>
      </c>
      <c r="K21" s="45">
        <f t="shared" si="0"/>
        <v>0</v>
      </c>
      <c r="L21" s="43" t="s">
        <v>17</v>
      </c>
      <c r="M21" s="44">
        <v>12</v>
      </c>
      <c r="N21" s="44">
        <v>20.8</v>
      </c>
      <c r="O21" s="44">
        <v>20.8</v>
      </c>
      <c r="P21" s="44">
        <v>7</v>
      </c>
      <c r="Q21" s="44">
        <v>5</v>
      </c>
      <c r="R21" s="44">
        <v>0</v>
      </c>
      <c r="S21" s="44">
        <v>0</v>
      </c>
      <c r="T21" s="44">
        <v>0</v>
      </c>
      <c r="U21" s="44">
        <v>0</v>
      </c>
      <c r="V21" s="46">
        <f t="shared" si="1"/>
        <v>0</v>
      </c>
      <c r="W21" s="47" t="s">
        <v>18</v>
      </c>
      <c r="X21" s="44">
        <v>12</v>
      </c>
      <c r="Y21" s="44">
        <v>17</v>
      </c>
      <c r="Z21" s="44">
        <v>1.25</v>
      </c>
      <c r="AA21" s="44">
        <v>6</v>
      </c>
      <c r="AB21" s="44">
        <v>6</v>
      </c>
      <c r="AC21" s="44">
        <v>0</v>
      </c>
      <c r="AD21" s="44">
        <v>0</v>
      </c>
      <c r="AE21" s="44">
        <v>0</v>
      </c>
      <c r="AF21" s="44">
        <v>0</v>
      </c>
      <c r="AG21" s="46">
        <f t="shared" si="2"/>
        <v>0</v>
      </c>
    </row>
    <row r="22" spans="1:33" x14ac:dyDescent="0.25">
      <c r="A22" s="43" t="s">
        <v>16</v>
      </c>
      <c r="B22" s="44">
        <v>12</v>
      </c>
      <c r="C22" s="44">
        <v>16.2</v>
      </c>
      <c r="D22" s="44">
        <v>1.06</v>
      </c>
      <c r="E22" s="44">
        <v>10</v>
      </c>
      <c r="F22" s="44">
        <v>2</v>
      </c>
      <c r="G22" s="44">
        <v>0</v>
      </c>
      <c r="H22" s="44">
        <v>0</v>
      </c>
      <c r="I22" s="44">
        <v>0</v>
      </c>
      <c r="J22" s="44">
        <v>0</v>
      </c>
      <c r="K22" s="45">
        <f t="shared" si="0"/>
        <v>0</v>
      </c>
      <c r="L22" s="43" t="s">
        <v>17</v>
      </c>
      <c r="M22" s="44">
        <v>12</v>
      </c>
      <c r="N22" s="44">
        <v>16.2</v>
      </c>
      <c r="O22" s="44">
        <v>1.23</v>
      </c>
      <c r="P22" s="44">
        <v>10</v>
      </c>
      <c r="Q22" s="44">
        <v>2</v>
      </c>
      <c r="R22" s="44">
        <v>0</v>
      </c>
      <c r="S22" s="44">
        <v>0</v>
      </c>
      <c r="T22" s="44">
        <v>0</v>
      </c>
      <c r="U22" s="44">
        <v>0</v>
      </c>
      <c r="V22" s="46">
        <f t="shared" si="1"/>
        <v>0</v>
      </c>
      <c r="W22" s="47" t="s">
        <v>18</v>
      </c>
      <c r="X22" s="44">
        <v>12</v>
      </c>
      <c r="Y22" s="44">
        <v>16.7</v>
      </c>
      <c r="Z22" s="44">
        <v>1.8</v>
      </c>
      <c r="AA22" s="44">
        <v>3</v>
      </c>
      <c r="AB22" s="44">
        <v>9</v>
      </c>
      <c r="AC22" s="44">
        <v>0</v>
      </c>
      <c r="AD22" s="44">
        <v>0</v>
      </c>
      <c r="AE22" s="44">
        <v>0</v>
      </c>
      <c r="AF22" s="44">
        <v>0</v>
      </c>
      <c r="AG22" s="46">
        <f t="shared" si="2"/>
        <v>0</v>
      </c>
    </row>
    <row r="23" spans="1:33" x14ac:dyDescent="0.25">
      <c r="A23" s="43" t="s">
        <v>16</v>
      </c>
      <c r="B23" s="44">
        <v>12</v>
      </c>
      <c r="C23" s="44">
        <v>19.899999999999999</v>
      </c>
      <c r="D23" s="44">
        <v>1.71</v>
      </c>
      <c r="E23" s="44">
        <v>11</v>
      </c>
      <c r="F23" s="44">
        <v>1</v>
      </c>
      <c r="G23" s="44">
        <v>0</v>
      </c>
      <c r="H23" s="44">
        <v>0</v>
      </c>
      <c r="I23" s="44">
        <v>0</v>
      </c>
      <c r="J23" s="44">
        <v>0</v>
      </c>
      <c r="K23" s="45">
        <f t="shared" si="0"/>
        <v>0</v>
      </c>
      <c r="L23" s="43" t="s">
        <v>17</v>
      </c>
      <c r="M23" s="44">
        <v>12</v>
      </c>
      <c r="N23" s="44">
        <v>16.600000000000001</v>
      </c>
      <c r="O23" s="44">
        <v>1.26</v>
      </c>
      <c r="P23" s="44">
        <v>8</v>
      </c>
      <c r="Q23" s="44">
        <v>4</v>
      </c>
      <c r="R23" s="44">
        <v>0</v>
      </c>
      <c r="S23" s="44">
        <v>0</v>
      </c>
      <c r="T23" s="44">
        <v>0</v>
      </c>
      <c r="U23" s="44">
        <v>0</v>
      </c>
      <c r="V23" s="46">
        <f t="shared" si="1"/>
        <v>0</v>
      </c>
      <c r="W23" s="47" t="s">
        <v>18</v>
      </c>
      <c r="X23" s="44">
        <v>12</v>
      </c>
      <c r="Y23" s="44">
        <v>18.3</v>
      </c>
      <c r="Z23" s="44">
        <v>1.37</v>
      </c>
      <c r="AA23" s="44">
        <v>12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6">
        <f t="shared" si="2"/>
        <v>0</v>
      </c>
    </row>
    <row r="24" spans="1:33" x14ac:dyDescent="0.25">
      <c r="A24" s="43" t="s">
        <v>16</v>
      </c>
      <c r="B24" s="44">
        <v>12</v>
      </c>
      <c r="C24" s="44">
        <v>16.7</v>
      </c>
      <c r="D24" s="44">
        <v>1.24</v>
      </c>
      <c r="E24" s="44">
        <v>5</v>
      </c>
      <c r="F24" s="44">
        <v>6</v>
      </c>
      <c r="G24" s="44">
        <v>1</v>
      </c>
      <c r="H24" s="44">
        <v>0</v>
      </c>
      <c r="I24" s="44">
        <v>0</v>
      </c>
      <c r="J24" s="44">
        <v>0</v>
      </c>
      <c r="K24" s="45">
        <f t="shared" si="0"/>
        <v>1</v>
      </c>
      <c r="L24" s="43" t="s">
        <v>17</v>
      </c>
      <c r="M24" s="44">
        <v>12</v>
      </c>
      <c r="N24" s="44">
        <v>16.3</v>
      </c>
      <c r="O24" s="44">
        <v>1.0900000000000001</v>
      </c>
      <c r="P24" s="44">
        <v>10</v>
      </c>
      <c r="Q24" s="44">
        <v>2</v>
      </c>
      <c r="R24" s="44">
        <v>0</v>
      </c>
      <c r="S24" s="44">
        <v>0</v>
      </c>
      <c r="T24" s="44">
        <v>0</v>
      </c>
      <c r="U24" s="44">
        <v>0</v>
      </c>
      <c r="V24" s="46">
        <f t="shared" si="1"/>
        <v>0</v>
      </c>
      <c r="W24" s="47" t="s">
        <v>18</v>
      </c>
      <c r="X24" s="44">
        <v>12</v>
      </c>
      <c r="Y24" s="44">
        <v>16.7</v>
      </c>
      <c r="Z24" s="44">
        <v>1.1200000000000001</v>
      </c>
      <c r="AA24" s="44">
        <v>3</v>
      </c>
      <c r="AB24" s="44">
        <v>9</v>
      </c>
      <c r="AC24" s="44">
        <v>0</v>
      </c>
      <c r="AD24" s="44">
        <v>0</v>
      </c>
      <c r="AE24" s="44">
        <v>0</v>
      </c>
      <c r="AF24" s="44">
        <v>0</v>
      </c>
      <c r="AG24" s="46">
        <f t="shared" si="2"/>
        <v>0</v>
      </c>
    </row>
    <row r="25" spans="1:33" x14ac:dyDescent="0.25">
      <c r="A25" s="43" t="s">
        <v>16</v>
      </c>
      <c r="B25" s="44">
        <v>12</v>
      </c>
      <c r="C25" s="44">
        <v>17.2</v>
      </c>
      <c r="D25" s="44">
        <v>1.24</v>
      </c>
      <c r="E25" s="44">
        <v>10</v>
      </c>
      <c r="F25" s="44">
        <v>1</v>
      </c>
      <c r="G25" s="44">
        <v>1</v>
      </c>
      <c r="H25" s="44">
        <v>0</v>
      </c>
      <c r="I25" s="44">
        <v>0</v>
      </c>
      <c r="J25" s="44">
        <v>0</v>
      </c>
      <c r="K25" s="45">
        <f t="shared" si="0"/>
        <v>1</v>
      </c>
      <c r="L25" s="43" t="s">
        <v>17</v>
      </c>
      <c r="M25" s="44">
        <v>12</v>
      </c>
      <c r="N25" s="44">
        <v>17.100000000000001</v>
      </c>
      <c r="O25" s="44">
        <v>1.4</v>
      </c>
      <c r="P25" s="44">
        <v>8</v>
      </c>
      <c r="Q25" s="44">
        <v>4</v>
      </c>
      <c r="R25" s="44">
        <v>0</v>
      </c>
      <c r="S25" s="44">
        <v>0</v>
      </c>
      <c r="T25" s="44">
        <v>0</v>
      </c>
      <c r="U25" s="44">
        <v>0</v>
      </c>
      <c r="V25" s="46">
        <f t="shared" si="1"/>
        <v>0</v>
      </c>
      <c r="W25" s="47" t="s">
        <v>18</v>
      </c>
      <c r="X25" s="44">
        <v>12</v>
      </c>
      <c r="Y25" s="44">
        <v>18.600000000000001</v>
      </c>
      <c r="Z25" s="44">
        <v>1.51</v>
      </c>
      <c r="AA25" s="44">
        <v>3</v>
      </c>
      <c r="AB25" s="44">
        <v>9</v>
      </c>
      <c r="AC25" s="44">
        <v>0</v>
      </c>
      <c r="AD25" s="44">
        <v>0</v>
      </c>
      <c r="AE25" s="44">
        <v>0</v>
      </c>
      <c r="AF25" s="44">
        <v>0</v>
      </c>
      <c r="AG25" s="46">
        <f t="shared" si="2"/>
        <v>0</v>
      </c>
    </row>
    <row r="26" spans="1:33" x14ac:dyDescent="0.25">
      <c r="A26" s="43" t="s">
        <v>16</v>
      </c>
      <c r="B26" s="44">
        <v>12</v>
      </c>
      <c r="C26" s="44">
        <v>17.899999999999999</v>
      </c>
      <c r="D26" s="44">
        <v>1.45</v>
      </c>
      <c r="E26" s="44">
        <v>8</v>
      </c>
      <c r="F26" s="44">
        <v>4</v>
      </c>
      <c r="G26" s="44">
        <v>0</v>
      </c>
      <c r="H26" s="44">
        <v>0</v>
      </c>
      <c r="I26" s="44">
        <v>0</v>
      </c>
      <c r="J26" s="44">
        <v>0</v>
      </c>
      <c r="K26" s="45">
        <f t="shared" si="0"/>
        <v>0</v>
      </c>
      <c r="L26" s="43" t="s">
        <v>17</v>
      </c>
      <c r="M26" s="44">
        <v>12</v>
      </c>
      <c r="N26" s="44">
        <v>17.600000000000001</v>
      </c>
      <c r="O26" s="44">
        <v>1.44</v>
      </c>
      <c r="P26" s="44">
        <v>9</v>
      </c>
      <c r="Q26" s="44">
        <v>2</v>
      </c>
      <c r="R26" s="44">
        <v>0</v>
      </c>
      <c r="S26" s="44">
        <v>1</v>
      </c>
      <c r="T26" s="44">
        <v>0</v>
      </c>
      <c r="U26" s="44">
        <v>0</v>
      </c>
      <c r="V26" s="46">
        <f t="shared" si="1"/>
        <v>1</v>
      </c>
      <c r="W26" s="47" t="s">
        <v>18</v>
      </c>
      <c r="X26" s="44">
        <v>12</v>
      </c>
      <c r="Y26" s="44">
        <v>17</v>
      </c>
      <c r="Z26" s="44">
        <v>1.4</v>
      </c>
      <c r="AA26" s="44">
        <v>6</v>
      </c>
      <c r="AB26" s="44">
        <v>6</v>
      </c>
      <c r="AC26" s="44">
        <v>0</v>
      </c>
      <c r="AD26" s="44">
        <v>0</v>
      </c>
      <c r="AE26" s="44">
        <v>0</v>
      </c>
      <c r="AF26" s="44">
        <v>0</v>
      </c>
      <c r="AG26" s="46">
        <f t="shared" si="2"/>
        <v>0</v>
      </c>
    </row>
    <row r="27" spans="1:33" x14ac:dyDescent="0.25">
      <c r="A27" s="43" t="s">
        <v>16</v>
      </c>
      <c r="B27" s="44">
        <v>12</v>
      </c>
      <c r="C27" s="44">
        <v>17.600000000000001</v>
      </c>
      <c r="D27" s="44">
        <v>1.33</v>
      </c>
      <c r="E27" s="44">
        <v>8</v>
      </c>
      <c r="F27" s="44">
        <v>4</v>
      </c>
      <c r="G27" s="44">
        <v>0</v>
      </c>
      <c r="H27" s="44">
        <v>0</v>
      </c>
      <c r="I27" s="44">
        <v>0</v>
      </c>
      <c r="J27" s="44">
        <v>0</v>
      </c>
      <c r="K27" s="45">
        <f t="shared" si="0"/>
        <v>0</v>
      </c>
      <c r="L27" s="43" t="s">
        <v>17</v>
      </c>
      <c r="M27" s="44">
        <v>12</v>
      </c>
      <c r="N27" s="44">
        <v>20.6</v>
      </c>
      <c r="O27" s="44">
        <v>2.21</v>
      </c>
      <c r="P27" s="44">
        <v>9</v>
      </c>
      <c r="Q27" s="44">
        <v>3</v>
      </c>
      <c r="R27" s="44">
        <v>0</v>
      </c>
      <c r="S27" s="44">
        <v>0</v>
      </c>
      <c r="T27" s="44">
        <v>0</v>
      </c>
      <c r="U27" s="44">
        <v>0</v>
      </c>
      <c r="V27" s="46">
        <f t="shared" si="1"/>
        <v>0</v>
      </c>
      <c r="W27" s="47" t="s">
        <v>18</v>
      </c>
      <c r="X27" s="44">
        <v>12</v>
      </c>
      <c r="Y27" s="44">
        <v>18</v>
      </c>
      <c r="Z27" s="44">
        <v>1.37</v>
      </c>
      <c r="AA27" s="44">
        <v>3</v>
      </c>
      <c r="AB27" s="44">
        <v>9</v>
      </c>
      <c r="AC27" s="44">
        <v>0</v>
      </c>
      <c r="AD27" s="44">
        <v>0</v>
      </c>
      <c r="AE27" s="44">
        <v>0</v>
      </c>
      <c r="AF27" s="44">
        <v>0</v>
      </c>
      <c r="AG27" s="46">
        <f t="shared" si="2"/>
        <v>0</v>
      </c>
    </row>
    <row r="28" spans="1:33" x14ac:dyDescent="0.25">
      <c r="A28" s="43" t="s">
        <v>16</v>
      </c>
      <c r="B28" s="44">
        <v>12</v>
      </c>
      <c r="C28" s="44">
        <v>17.2</v>
      </c>
      <c r="D28" s="44">
        <v>1.31</v>
      </c>
      <c r="E28" s="44">
        <v>12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5">
        <f t="shared" si="0"/>
        <v>0</v>
      </c>
      <c r="L28" s="43" t="s">
        <v>17</v>
      </c>
      <c r="M28" s="44">
        <v>12</v>
      </c>
      <c r="N28" s="44">
        <v>16</v>
      </c>
      <c r="O28" s="44">
        <v>1.3</v>
      </c>
      <c r="P28" s="44">
        <v>10</v>
      </c>
      <c r="Q28" s="44">
        <v>2</v>
      </c>
      <c r="R28" s="44">
        <v>0</v>
      </c>
      <c r="S28" s="44">
        <v>0</v>
      </c>
      <c r="T28" s="44">
        <v>0</v>
      </c>
      <c r="U28" s="44">
        <v>0</v>
      </c>
      <c r="V28" s="46">
        <f t="shared" si="1"/>
        <v>0</v>
      </c>
      <c r="W28" s="47" t="s">
        <v>18</v>
      </c>
      <c r="X28" s="44">
        <v>12</v>
      </c>
      <c r="Y28" s="44">
        <v>17</v>
      </c>
      <c r="Z28" s="44">
        <v>1.2</v>
      </c>
      <c r="AA28" s="44">
        <v>5</v>
      </c>
      <c r="AB28" s="44">
        <v>7</v>
      </c>
      <c r="AC28" s="44">
        <v>0</v>
      </c>
      <c r="AD28" s="44">
        <v>0</v>
      </c>
      <c r="AE28" s="44">
        <v>0</v>
      </c>
      <c r="AF28" s="44">
        <v>0</v>
      </c>
      <c r="AG28" s="46">
        <f t="shared" si="2"/>
        <v>0</v>
      </c>
    </row>
    <row r="29" spans="1:33" x14ac:dyDescent="0.25">
      <c r="A29" s="43" t="s">
        <v>19</v>
      </c>
      <c r="B29" s="44">
        <v>12</v>
      </c>
      <c r="C29" s="44">
        <v>17.399999999999999</v>
      </c>
      <c r="D29" s="44">
        <v>1.28</v>
      </c>
      <c r="E29" s="44">
        <v>12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5">
        <f t="shared" si="0"/>
        <v>0</v>
      </c>
      <c r="L29" s="43" t="s">
        <v>20</v>
      </c>
      <c r="M29" s="44">
        <v>12</v>
      </c>
      <c r="N29" s="44">
        <v>16.899999999999999</v>
      </c>
      <c r="O29" s="44">
        <v>1.0900000000000001</v>
      </c>
      <c r="P29" s="44">
        <v>10</v>
      </c>
      <c r="Q29" s="44">
        <v>2</v>
      </c>
      <c r="R29" s="44">
        <v>0</v>
      </c>
      <c r="S29" s="44">
        <v>0</v>
      </c>
      <c r="T29" s="44">
        <v>0</v>
      </c>
      <c r="U29" s="44">
        <v>0</v>
      </c>
      <c r="V29" s="46">
        <f t="shared" si="1"/>
        <v>0</v>
      </c>
      <c r="W29" s="47" t="s">
        <v>21</v>
      </c>
      <c r="X29" s="44">
        <v>12</v>
      </c>
      <c r="Y29" s="44">
        <v>19.8</v>
      </c>
      <c r="Z29" s="44">
        <v>1.58</v>
      </c>
      <c r="AA29" s="44">
        <v>12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6">
        <f t="shared" si="2"/>
        <v>0</v>
      </c>
    </row>
    <row r="30" spans="1:33" x14ac:dyDescent="0.25">
      <c r="A30" s="43" t="s">
        <v>19</v>
      </c>
      <c r="B30" s="44">
        <v>12</v>
      </c>
      <c r="C30" s="44">
        <v>16.899999999999999</v>
      </c>
      <c r="D30" s="44">
        <v>1.1399999999999999</v>
      </c>
      <c r="E30" s="44">
        <v>11</v>
      </c>
      <c r="F30" s="44">
        <v>1</v>
      </c>
      <c r="G30" s="44">
        <v>0</v>
      </c>
      <c r="H30" s="44">
        <v>0</v>
      </c>
      <c r="I30" s="44">
        <v>0</v>
      </c>
      <c r="J30" s="44">
        <v>0</v>
      </c>
      <c r="K30" s="45">
        <f t="shared" si="0"/>
        <v>0</v>
      </c>
      <c r="L30" s="43" t="s">
        <v>20</v>
      </c>
      <c r="M30" s="44">
        <v>12</v>
      </c>
      <c r="N30" s="44">
        <v>18.399999999999999</v>
      </c>
      <c r="O30" s="44">
        <v>1.61</v>
      </c>
      <c r="P30" s="44">
        <v>9</v>
      </c>
      <c r="Q30" s="44">
        <v>3</v>
      </c>
      <c r="R30" s="44">
        <v>0</v>
      </c>
      <c r="S30" s="44">
        <v>0</v>
      </c>
      <c r="T30" s="44">
        <v>0</v>
      </c>
      <c r="U30" s="44">
        <v>0</v>
      </c>
      <c r="V30" s="46">
        <f t="shared" si="1"/>
        <v>0</v>
      </c>
      <c r="W30" s="47" t="s">
        <v>21</v>
      </c>
      <c r="X30" s="44">
        <v>12</v>
      </c>
      <c r="Y30" s="44">
        <v>17</v>
      </c>
      <c r="Z30" s="44">
        <v>1.01</v>
      </c>
      <c r="AA30" s="44">
        <v>8</v>
      </c>
      <c r="AB30" s="44">
        <v>4</v>
      </c>
      <c r="AC30" s="44">
        <v>0</v>
      </c>
      <c r="AD30" s="44">
        <v>0</v>
      </c>
      <c r="AE30" s="44">
        <v>0</v>
      </c>
      <c r="AF30" s="44">
        <v>0</v>
      </c>
      <c r="AG30" s="46">
        <f t="shared" si="2"/>
        <v>0</v>
      </c>
    </row>
    <row r="31" spans="1:33" x14ac:dyDescent="0.25">
      <c r="A31" s="43" t="s">
        <v>19</v>
      </c>
      <c r="B31" s="44">
        <v>12</v>
      </c>
      <c r="C31" s="44">
        <v>18.2</v>
      </c>
      <c r="D31" s="44">
        <v>1.42</v>
      </c>
      <c r="E31" s="44">
        <v>11</v>
      </c>
      <c r="F31" s="44">
        <v>1</v>
      </c>
      <c r="G31" s="44">
        <v>0</v>
      </c>
      <c r="H31" s="44">
        <v>0</v>
      </c>
      <c r="I31" s="44">
        <v>0</v>
      </c>
      <c r="J31" s="44">
        <v>0</v>
      </c>
      <c r="K31" s="45">
        <f t="shared" si="0"/>
        <v>0</v>
      </c>
      <c r="L31" s="43" t="s">
        <v>20</v>
      </c>
      <c r="M31" s="44">
        <v>12</v>
      </c>
      <c r="N31" s="44">
        <v>18.100000000000001</v>
      </c>
      <c r="O31" s="44">
        <v>1.63</v>
      </c>
      <c r="P31" s="44">
        <v>9</v>
      </c>
      <c r="Q31" s="44">
        <v>3</v>
      </c>
      <c r="R31" s="44">
        <v>0</v>
      </c>
      <c r="S31" s="44">
        <v>0</v>
      </c>
      <c r="T31" s="44">
        <v>0</v>
      </c>
      <c r="U31" s="44">
        <v>0</v>
      </c>
      <c r="V31" s="46">
        <f t="shared" si="1"/>
        <v>0</v>
      </c>
      <c r="W31" s="47" t="s">
        <v>21</v>
      </c>
      <c r="X31" s="44">
        <v>12</v>
      </c>
      <c r="Y31" s="44">
        <v>18.100000000000001</v>
      </c>
      <c r="Z31" s="44">
        <v>1.3</v>
      </c>
      <c r="AA31" s="44">
        <v>12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6">
        <f t="shared" si="2"/>
        <v>0</v>
      </c>
    </row>
    <row r="32" spans="1:33" x14ac:dyDescent="0.25">
      <c r="A32" s="43" t="s">
        <v>19</v>
      </c>
      <c r="B32" s="44">
        <v>12</v>
      </c>
      <c r="C32" s="44">
        <v>18.7</v>
      </c>
      <c r="D32" s="44">
        <v>1.25</v>
      </c>
      <c r="E32" s="44">
        <v>7</v>
      </c>
      <c r="F32" s="44">
        <v>4</v>
      </c>
      <c r="G32" s="44">
        <v>0</v>
      </c>
      <c r="H32" s="44">
        <v>1</v>
      </c>
      <c r="I32" s="44">
        <v>0</v>
      </c>
      <c r="J32" s="44">
        <v>0</v>
      </c>
      <c r="K32" s="45">
        <f t="shared" si="0"/>
        <v>1</v>
      </c>
      <c r="L32" s="43" t="s">
        <v>20</v>
      </c>
      <c r="M32" s="44">
        <v>12</v>
      </c>
      <c r="N32" s="44">
        <v>19.8</v>
      </c>
      <c r="O32" s="44">
        <v>1.82</v>
      </c>
      <c r="P32" s="44">
        <v>9</v>
      </c>
      <c r="Q32" s="44">
        <v>2</v>
      </c>
      <c r="R32" s="44">
        <v>0</v>
      </c>
      <c r="S32" s="44">
        <v>0</v>
      </c>
      <c r="T32" s="44">
        <v>0</v>
      </c>
      <c r="U32" s="44">
        <v>0</v>
      </c>
      <c r="V32" s="46">
        <f t="shared" si="1"/>
        <v>0</v>
      </c>
      <c r="W32" s="47" t="s">
        <v>21</v>
      </c>
      <c r="X32" s="44">
        <v>12</v>
      </c>
      <c r="Y32" s="44">
        <v>17.7</v>
      </c>
      <c r="Z32" s="44">
        <v>1.48</v>
      </c>
      <c r="AA32" s="44">
        <v>7</v>
      </c>
      <c r="AB32" s="44">
        <v>5</v>
      </c>
      <c r="AC32" s="44">
        <v>0</v>
      </c>
      <c r="AD32" s="44">
        <v>0</v>
      </c>
      <c r="AE32" s="44">
        <v>0</v>
      </c>
      <c r="AF32" s="44">
        <v>0</v>
      </c>
      <c r="AG32" s="46">
        <f t="shared" si="2"/>
        <v>0</v>
      </c>
    </row>
    <row r="33" spans="1:33" x14ac:dyDescent="0.25">
      <c r="A33" s="43" t="s">
        <v>19</v>
      </c>
      <c r="B33" s="44">
        <v>12</v>
      </c>
      <c r="C33" s="44">
        <v>16.600000000000001</v>
      </c>
      <c r="D33" s="44">
        <v>1.23</v>
      </c>
      <c r="E33" s="44">
        <v>12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5">
        <f t="shared" si="0"/>
        <v>0</v>
      </c>
      <c r="L33" s="43" t="s">
        <v>20</v>
      </c>
      <c r="M33" s="44">
        <v>12</v>
      </c>
      <c r="N33" s="44">
        <v>20.100000000000001</v>
      </c>
      <c r="O33" s="44">
        <v>1.98</v>
      </c>
      <c r="P33" s="44">
        <v>9</v>
      </c>
      <c r="Q33" s="44">
        <v>3</v>
      </c>
      <c r="R33" s="44">
        <v>0</v>
      </c>
      <c r="S33" s="44">
        <v>0</v>
      </c>
      <c r="T33" s="44">
        <v>0</v>
      </c>
      <c r="U33" s="44">
        <v>0</v>
      </c>
      <c r="V33" s="46">
        <f t="shared" si="1"/>
        <v>0</v>
      </c>
      <c r="W33" s="47" t="s">
        <v>21</v>
      </c>
      <c r="X33" s="44">
        <v>12</v>
      </c>
      <c r="Y33" s="44">
        <v>19.7</v>
      </c>
      <c r="Z33" s="44">
        <v>1.5</v>
      </c>
      <c r="AA33" s="44">
        <v>4</v>
      </c>
      <c r="AB33" s="44">
        <v>8</v>
      </c>
      <c r="AC33" s="44">
        <v>0</v>
      </c>
      <c r="AD33" s="44">
        <v>0</v>
      </c>
      <c r="AE33" s="44">
        <v>0</v>
      </c>
      <c r="AF33" s="44">
        <v>0</v>
      </c>
      <c r="AG33" s="46">
        <f t="shared" si="2"/>
        <v>0</v>
      </c>
    </row>
    <row r="34" spans="1:33" x14ac:dyDescent="0.25">
      <c r="A34" s="43" t="s">
        <v>19</v>
      </c>
      <c r="B34" s="44">
        <v>12</v>
      </c>
      <c r="C34" s="44">
        <v>18.5</v>
      </c>
      <c r="D34" s="44">
        <v>1.8</v>
      </c>
      <c r="E34" s="44">
        <v>9</v>
      </c>
      <c r="F34" s="44">
        <v>3</v>
      </c>
      <c r="G34" s="44">
        <v>0</v>
      </c>
      <c r="H34" s="44">
        <v>0</v>
      </c>
      <c r="I34" s="44">
        <v>0</v>
      </c>
      <c r="J34" s="44">
        <v>0</v>
      </c>
      <c r="K34" s="45">
        <f t="shared" ref="K34:K55" si="3">SUM(G34:J34)</f>
        <v>0</v>
      </c>
      <c r="L34" s="43" t="s">
        <v>20</v>
      </c>
      <c r="M34" s="44">
        <v>12</v>
      </c>
      <c r="N34" s="44">
        <v>18.2</v>
      </c>
      <c r="O34" s="44">
        <v>1.45</v>
      </c>
      <c r="P34" s="44">
        <v>11</v>
      </c>
      <c r="Q34" s="44">
        <v>1</v>
      </c>
      <c r="R34" s="44">
        <v>0</v>
      </c>
      <c r="S34" s="44">
        <v>0</v>
      </c>
      <c r="T34" s="44">
        <v>0</v>
      </c>
      <c r="U34" s="44">
        <v>0</v>
      </c>
      <c r="V34" s="46">
        <f t="shared" ref="V34:V55" si="4">SUM(R34:U34)</f>
        <v>0</v>
      </c>
      <c r="W34" s="47" t="s">
        <v>21</v>
      </c>
      <c r="X34" s="44">
        <v>12</v>
      </c>
      <c r="Y34" s="44">
        <v>16.100000000000001</v>
      </c>
      <c r="Z34" s="44">
        <v>0.89</v>
      </c>
      <c r="AA34" s="44">
        <v>8</v>
      </c>
      <c r="AB34" s="44">
        <v>2</v>
      </c>
      <c r="AC34" s="44">
        <v>1</v>
      </c>
      <c r="AD34" s="44">
        <v>0</v>
      </c>
      <c r="AE34" s="44">
        <v>1</v>
      </c>
      <c r="AF34" s="44">
        <v>0</v>
      </c>
      <c r="AG34" s="46">
        <f t="shared" ref="AG34:AG55" si="5">SUM(AC34:AF34)</f>
        <v>2</v>
      </c>
    </row>
    <row r="35" spans="1:33" x14ac:dyDescent="0.25">
      <c r="A35" s="43" t="s">
        <v>19</v>
      </c>
      <c r="B35" s="44">
        <v>12</v>
      </c>
      <c r="C35" s="44">
        <v>20.7</v>
      </c>
      <c r="D35" s="44">
        <v>2.04</v>
      </c>
      <c r="E35" s="44">
        <v>8</v>
      </c>
      <c r="F35" s="44">
        <v>4</v>
      </c>
      <c r="G35" s="44">
        <v>0</v>
      </c>
      <c r="H35" s="44">
        <v>0</v>
      </c>
      <c r="I35" s="44">
        <v>0</v>
      </c>
      <c r="J35" s="44">
        <v>0</v>
      </c>
      <c r="K35" s="45">
        <f t="shared" si="3"/>
        <v>0</v>
      </c>
      <c r="L35" s="43" t="s">
        <v>20</v>
      </c>
      <c r="M35" s="44">
        <v>12</v>
      </c>
      <c r="N35" s="44">
        <v>18.3</v>
      </c>
      <c r="O35" s="44">
        <v>1.78</v>
      </c>
      <c r="P35" s="44">
        <v>11</v>
      </c>
      <c r="Q35" s="44">
        <v>1</v>
      </c>
      <c r="R35" s="44">
        <v>0</v>
      </c>
      <c r="S35" s="44">
        <v>0</v>
      </c>
      <c r="T35" s="44">
        <v>0</v>
      </c>
      <c r="U35" s="44">
        <v>0</v>
      </c>
      <c r="V35" s="46">
        <f t="shared" si="4"/>
        <v>0</v>
      </c>
      <c r="W35" s="47" t="s">
        <v>21</v>
      </c>
      <c r="X35" s="44">
        <v>12</v>
      </c>
      <c r="Y35" s="44">
        <v>16.7</v>
      </c>
      <c r="Z35" s="44">
        <v>1.17</v>
      </c>
      <c r="AA35" s="44">
        <v>2</v>
      </c>
      <c r="AB35" s="44">
        <v>10</v>
      </c>
      <c r="AC35" s="44">
        <v>0</v>
      </c>
      <c r="AD35" s="44">
        <v>0</v>
      </c>
      <c r="AE35" s="44">
        <v>0</v>
      </c>
      <c r="AF35" s="44">
        <v>0</v>
      </c>
      <c r="AG35" s="46">
        <f t="shared" si="5"/>
        <v>0</v>
      </c>
    </row>
    <row r="36" spans="1:33" x14ac:dyDescent="0.25">
      <c r="A36" s="43" t="s">
        <v>19</v>
      </c>
      <c r="B36" s="44">
        <v>12</v>
      </c>
      <c r="C36" s="44">
        <v>17.899999999999999</v>
      </c>
      <c r="D36" s="44">
        <v>1.41</v>
      </c>
      <c r="E36" s="44">
        <v>9</v>
      </c>
      <c r="F36" s="44">
        <v>3</v>
      </c>
      <c r="G36" s="44">
        <v>0</v>
      </c>
      <c r="H36" s="44">
        <v>0</v>
      </c>
      <c r="I36" s="44">
        <v>0</v>
      </c>
      <c r="J36" s="44">
        <v>0</v>
      </c>
      <c r="K36" s="45">
        <f t="shared" si="3"/>
        <v>0</v>
      </c>
      <c r="L36" s="43" t="s">
        <v>20</v>
      </c>
      <c r="M36" s="44">
        <v>12</v>
      </c>
      <c r="N36" s="44">
        <v>17.600000000000001</v>
      </c>
      <c r="O36" s="44">
        <v>1.51</v>
      </c>
      <c r="P36" s="44">
        <v>9</v>
      </c>
      <c r="Q36" s="44">
        <v>3</v>
      </c>
      <c r="R36" s="44">
        <v>0</v>
      </c>
      <c r="S36" s="44">
        <v>0</v>
      </c>
      <c r="T36" s="44">
        <v>0</v>
      </c>
      <c r="U36" s="44">
        <v>0</v>
      </c>
      <c r="V36" s="46">
        <f t="shared" si="4"/>
        <v>0</v>
      </c>
      <c r="W36" s="47" t="s">
        <v>21</v>
      </c>
      <c r="X36" s="44">
        <v>12</v>
      </c>
      <c r="Y36" s="44">
        <v>17</v>
      </c>
      <c r="Z36" s="44">
        <v>1.29</v>
      </c>
      <c r="AA36" s="44">
        <v>12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6">
        <f t="shared" si="5"/>
        <v>0</v>
      </c>
    </row>
    <row r="37" spans="1:33" x14ac:dyDescent="0.25">
      <c r="A37" s="43" t="s">
        <v>19</v>
      </c>
      <c r="B37" s="44">
        <v>12</v>
      </c>
      <c r="C37" s="44">
        <v>17.100000000000001</v>
      </c>
      <c r="D37" s="44">
        <v>1.25</v>
      </c>
      <c r="E37" s="44">
        <v>8</v>
      </c>
      <c r="F37" s="44">
        <v>4</v>
      </c>
      <c r="G37" s="44">
        <v>0</v>
      </c>
      <c r="H37" s="44">
        <v>0</v>
      </c>
      <c r="I37" s="44">
        <v>0</v>
      </c>
      <c r="J37" s="44">
        <v>0</v>
      </c>
      <c r="K37" s="45">
        <f t="shared" si="3"/>
        <v>0</v>
      </c>
      <c r="L37" s="43" t="s">
        <v>20</v>
      </c>
      <c r="M37" s="44">
        <v>12</v>
      </c>
      <c r="N37" s="44">
        <v>17</v>
      </c>
      <c r="O37" s="44">
        <v>1.32</v>
      </c>
      <c r="P37" s="44">
        <v>11</v>
      </c>
      <c r="Q37" s="44">
        <v>1</v>
      </c>
      <c r="R37" s="44">
        <v>0</v>
      </c>
      <c r="S37" s="44">
        <v>0</v>
      </c>
      <c r="T37" s="44">
        <v>0</v>
      </c>
      <c r="U37" s="44">
        <v>0</v>
      </c>
      <c r="V37" s="46">
        <f t="shared" si="4"/>
        <v>0</v>
      </c>
      <c r="W37" s="47" t="s">
        <v>21</v>
      </c>
      <c r="X37" s="44">
        <v>12</v>
      </c>
      <c r="Y37" s="44">
        <v>20.100000000000001</v>
      </c>
      <c r="Z37" s="44">
        <v>1.75</v>
      </c>
      <c r="AA37" s="44">
        <v>1</v>
      </c>
      <c r="AB37" s="44">
        <v>10</v>
      </c>
      <c r="AC37" s="44">
        <v>1</v>
      </c>
      <c r="AD37" s="44">
        <v>0</v>
      </c>
      <c r="AE37" s="44">
        <v>0</v>
      </c>
      <c r="AF37" s="44">
        <v>0</v>
      </c>
      <c r="AG37" s="46">
        <f t="shared" si="5"/>
        <v>1</v>
      </c>
    </row>
    <row r="38" spans="1:33" x14ac:dyDescent="0.25">
      <c r="A38" s="43" t="s">
        <v>19</v>
      </c>
      <c r="B38" s="44">
        <v>12</v>
      </c>
      <c r="C38" s="44">
        <v>17</v>
      </c>
      <c r="D38" s="44">
        <v>1.5</v>
      </c>
      <c r="E38" s="44">
        <v>7</v>
      </c>
      <c r="F38" s="44">
        <v>4</v>
      </c>
      <c r="G38" s="44">
        <v>0</v>
      </c>
      <c r="H38" s="44">
        <v>0</v>
      </c>
      <c r="I38" s="44">
        <v>0</v>
      </c>
      <c r="J38" s="44">
        <v>0</v>
      </c>
      <c r="K38" s="45">
        <f t="shared" si="3"/>
        <v>0</v>
      </c>
      <c r="L38" s="43" t="s">
        <v>20</v>
      </c>
      <c r="M38" s="44">
        <v>12</v>
      </c>
      <c r="N38" s="44">
        <v>16.600000000000001</v>
      </c>
      <c r="O38" s="44">
        <v>1.36</v>
      </c>
      <c r="P38" s="44">
        <v>9</v>
      </c>
      <c r="Q38" s="44">
        <v>3</v>
      </c>
      <c r="R38" s="44">
        <v>0</v>
      </c>
      <c r="S38" s="44">
        <v>0</v>
      </c>
      <c r="T38" s="44">
        <v>0</v>
      </c>
      <c r="U38" s="44">
        <v>0</v>
      </c>
      <c r="V38" s="46">
        <f t="shared" si="4"/>
        <v>0</v>
      </c>
      <c r="W38" s="47" t="s">
        <v>21</v>
      </c>
      <c r="X38" s="44">
        <v>12</v>
      </c>
      <c r="Y38" s="44">
        <v>20.100000000000001</v>
      </c>
      <c r="Z38" s="44">
        <v>2.04</v>
      </c>
      <c r="AA38" s="44">
        <v>6</v>
      </c>
      <c r="AB38" s="44">
        <v>6</v>
      </c>
      <c r="AC38" s="44">
        <v>0</v>
      </c>
      <c r="AD38" s="44">
        <v>0</v>
      </c>
      <c r="AE38" s="44">
        <v>0</v>
      </c>
      <c r="AF38" s="44">
        <v>0</v>
      </c>
      <c r="AG38" s="46">
        <f t="shared" si="5"/>
        <v>0</v>
      </c>
    </row>
    <row r="39" spans="1:33" x14ac:dyDescent="0.25">
      <c r="A39" s="43" t="s">
        <v>19</v>
      </c>
      <c r="B39" s="44">
        <v>12</v>
      </c>
      <c r="C39" s="44">
        <v>18.5</v>
      </c>
      <c r="D39" s="44">
        <v>1.52</v>
      </c>
      <c r="E39" s="44">
        <v>9</v>
      </c>
      <c r="F39" s="44">
        <v>3</v>
      </c>
      <c r="G39" s="44">
        <v>0</v>
      </c>
      <c r="H39" s="44">
        <v>0</v>
      </c>
      <c r="I39" s="44">
        <v>0</v>
      </c>
      <c r="J39" s="44">
        <v>0</v>
      </c>
      <c r="K39" s="45">
        <f t="shared" si="3"/>
        <v>0</v>
      </c>
      <c r="L39" s="43" t="s">
        <v>20</v>
      </c>
      <c r="M39" s="44">
        <v>12</v>
      </c>
      <c r="N39" s="44">
        <v>15.1</v>
      </c>
      <c r="O39" s="44">
        <v>1.17</v>
      </c>
      <c r="P39" s="44">
        <v>11</v>
      </c>
      <c r="Q39" s="44">
        <v>1</v>
      </c>
      <c r="R39" s="44">
        <v>0</v>
      </c>
      <c r="S39" s="44">
        <v>0</v>
      </c>
      <c r="T39" s="44">
        <v>0</v>
      </c>
      <c r="U39" s="44">
        <v>0</v>
      </c>
      <c r="V39" s="46">
        <f t="shared" si="4"/>
        <v>0</v>
      </c>
      <c r="W39" s="47" t="s">
        <v>21</v>
      </c>
      <c r="X39" s="44">
        <v>12</v>
      </c>
      <c r="Y39" s="44">
        <v>17.899999999999999</v>
      </c>
      <c r="Z39" s="44">
        <v>1.49</v>
      </c>
      <c r="AA39" s="44">
        <v>6</v>
      </c>
      <c r="AB39" s="44">
        <v>6</v>
      </c>
      <c r="AC39" s="44">
        <v>0</v>
      </c>
      <c r="AD39" s="44">
        <v>0</v>
      </c>
      <c r="AE39" s="44">
        <v>0</v>
      </c>
      <c r="AF39" s="44">
        <v>0</v>
      </c>
      <c r="AG39" s="46">
        <f t="shared" si="5"/>
        <v>0</v>
      </c>
    </row>
    <row r="40" spans="1:33" x14ac:dyDescent="0.25">
      <c r="A40" s="43" t="s">
        <v>19</v>
      </c>
      <c r="B40" s="44">
        <v>12</v>
      </c>
      <c r="C40" s="44">
        <v>18.899999999999999</v>
      </c>
      <c r="D40" s="44">
        <v>1.66</v>
      </c>
      <c r="E40" s="44">
        <v>9</v>
      </c>
      <c r="F40" s="44">
        <v>3</v>
      </c>
      <c r="G40" s="44">
        <v>0</v>
      </c>
      <c r="H40" s="44">
        <v>0</v>
      </c>
      <c r="I40" s="44">
        <v>0</v>
      </c>
      <c r="J40" s="44">
        <v>0</v>
      </c>
      <c r="K40" s="45">
        <f t="shared" si="3"/>
        <v>0</v>
      </c>
      <c r="L40" s="43" t="s">
        <v>20</v>
      </c>
      <c r="M40" s="44">
        <v>12</v>
      </c>
      <c r="N40" s="44">
        <v>17.8</v>
      </c>
      <c r="O40" s="44">
        <v>1.55</v>
      </c>
      <c r="P40" s="44">
        <v>10</v>
      </c>
      <c r="Q40" s="44">
        <v>2</v>
      </c>
      <c r="R40" s="44">
        <v>0</v>
      </c>
      <c r="S40" s="44">
        <v>0</v>
      </c>
      <c r="T40" s="44">
        <v>0</v>
      </c>
      <c r="U40" s="44">
        <v>0</v>
      </c>
      <c r="V40" s="46">
        <f t="shared" si="4"/>
        <v>0</v>
      </c>
      <c r="W40" s="47" t="s">
        <v>21</v>
      </c>
      <c r="X40" s="44">
        <v>12</v>
      </c>
      <c r="Y40" s="44">
        <v>17.600000000000001</v>
      </c>
      <c r="Z40" s="44">
        <v>1.43</v>
      </c>
      <c r="AA40" s="44">
        <v>8</v>
      </c>
      <c r="AB40" s="44">
        <v>3</v>
      </c>
      <c r="AC40" s="44">
        <v>1</v>
      </c>
      <c r="AD40" s="44">
        <v>0</v>
      </c>
      <c r="AE40" s="44">
        <v>0</v>
      </c>
      <c r="AF40" s="44">
        <v>0</v>
      </c>
      <c r="AG40" s="46">
        <f t="shared" si="5"/>
        <v>1</v>
      </c>
    </row>
    <row r="41" spans="1:33" x14ac:dyDescent="0.25">
      <c r="A41" s="43" t="s">
        <v>19</v>
      </c>
      <c r="B41" s="44">
        <v>12</v>
      </c>
      <c r="C41" s="44">
        <v>20.7</v>
      </c>
      <c r="D41" s="44">
        <v>1.97</v>
      </c>
      <c r="E41" s="44">
        <v>9</v>
      </c>
      <c r="F41" s="44">
        <v>3</v>
      </c>
      <c r="G41" s="44">
        <v>0</v>
      </c>
      <c r="H41" s="44">
        <v>0</v>
      </c>
      <c r="I41" s="44">
        <v>0</v>
      </c>
      <c r="J41" s="44">
        <v>0</v>
      </c>
      <c r="K41" s="45">
        <f t="shared" si="3"/>
        <v>0</v>
      </c>
      <c r="L41" s="43" t="s">
        <v>20</v>
      </c>
      <c r="M41" s="44">
        <v>12</v>
      </c>
      <c r="N41" s="44">
        <v>17.899999999999999</v>
      </c>
      <c r="O41" s="44">
        <v>1.56</v>
      </c>
      <c r="P41" s="44">
        <v>10</v>
      </c>
      <c r="Q41" s="44">
        <v>2</v>
      </c>
      <c r="R41" s="44">
        <v>0</v>
      </c>
      <c r="S41" s="44">
        <v>0</v>
      </c>
      <c r="T41" s="44">
        <v>0</v>
      </c>
      <c r="U41" s="44">
        <v>0</v>
      </c>
      <c r="V41" s="46">
        <f t="shared" si="4"/>
        <v>0</v>
      </c>
      <c r="W41" s="47" t="s">
        <v>21</v>
      </c>
      <c r="X41" s="44">
        <v>12</v>
      </c>
      <c r="Y41" s="44">
        <v>18.7</v>
      </c>
      <c r="Z41" s="44">
        <v>1.74</v>
      </c>
      <c r="AA41" s="44">
        <v>6</v>
      </c>
      <c r="AB41" s="44">
        <v>6</v>
      </c>
      <c r="AC41" s="44">
        <v>0</v>
      </c>
      <c r="AD41" s="44">
        <v>0</v>
      </c>
      <c r="AE41" s="44">
        <v>0</v>
      </c>
      <c r="AF41" s="44">
        <v>0</v>
      </c>
      <c r="AG41" s="46">
        <f t="shared" si="5"/>
        <v>0</v>
      </c>
    </row>
    <row r="42" spans="1:33" x14ac:dyDescent="0.25">
      <c r="A42" s="43" t="s">
        <v>19</v>
      </c>
      <c r="B42" s="44">
        <v>12</v>
      </c>
      <c r="C42" s="44">
        <v>17.899999999999999</v>
      </c>
      <c r="D42" s="44">
        <v>17.899999999999999</v>
      </c>
      <c r="E42" s="44">
        <v>9</v>
      </c>
      <c r="F42" s="44">
        <v>3</v>
      </c>
      <c r="G42" s="44">
        <v>0</v>
      </c>
      <c r="H42" s="44">
        <v>0</v>
      </c>
      <c r="I42" s="44">
        <v>0</v>
      </c>
      <c r="J42" s="44">
        <v>0</v>
      </c>
      <c r="K42" s="45">
        <f t="shared" si="3"/>
        <v>0</v>
      </c>
      <c r="L42" s="43" t="s">
        <v>20</v>
      </c>
      <c r="M42" s="44">
        <v>12</v>
      </c>
      <c r="N42" s="44">
        <v>20.3</v>
      </c>
      <c r="O42" s="44">
        <v>2.0499999999999998</v>
      </c>
      <c r="P42" s="44">
        <v>12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6">
        <f t="shared" si="4"/>
        <v>0</v>
      </c>
      <c r="W42" s="47" t="s">
        <v>21</v>
      </c>
      <c r="X42" s="44">
        <v>12</v>
      </c>
      <c r="Y42" s="44">
        <v>16</v>
      </c>
      <c r="Z42" s="44">
        <v>1.04</v>
      </c>
      <c r="AA42" s="44">
        <v>8</v>
      </c>
      <c r="AB42" s="44">
        <v>4</v>
      </c>
      <c r="AC42" s="44">
        <v>0</v>
      </c>
      <c r="AD42" s="44">
        <v>0</v>
      </c>
      <c r="AE42" s="44">
        <v>0</v>
      </c>
      <c r="AF42" s="44">
        <v>0</v>
      </c>
      <c r="AG42" s="46">
        <f t="shared" si="5"/>
        <v>0</v>
      </c>
    </row>
    <row r="43" spans="1:33" x14ac:dyDescent="0.25">
      <c r="A43" s="43" t="s">
        <v>19</v>
      </c>
      <c r="B43" s="44">
        <v>12</v>
      </c>
      <c r="C43" s="44">
        <v>16.100000000000001</v>
      </c>
      <c r="D43" s="44">
        <v>16.100000000000001</v>
      </c>
      <c r="E43" s="44">
        <v>8</v>
      </c>
      <c r="F43" s="44">
        <v>4</v>
      </c>
      <c r="G43" s="44">
        <v>0</v>
      </c>
      <c r="H43" s="44">
        <v>0</v>
      </c>
      <c r="I43" s="44">
        <v>0</v>
      </c>
      <c r="J43" s="44">
        <v>0</v>
      </c>
      <c r="K43" s="45">
        <f t="shared" si="3"/>
        <v>0</v>
      </c>
      <c r="L43" s="43" t="s">
        <v>20</v>
      </c>
      <c r="M43" s="44">
        <v>12</v>
      </c>
      <c r="N43" s="44">
        <v>17</v>
      </c>
      <c r="O43" s="44">
        <v>1.23</v>
      </c>
      <c r="P43" s="44">
        <v>12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6">
        <f t="shared" si="4"/>
        <v>0</v>
      </c>
      <c r="W43" s="47" t="s">
        <v>21</v>
      </c>
      <c r="X43" s="44">
        <v>12</v>
      </c>
      <c r="Y43" s="44">
        <v>18</v>
      </c>
      <c r="Z43" s="44">
        <v>1.32</v>
      </c>
      <c r="AA43" s="44">
        <v>6</v>
      </c>
      <c r="AB43" s="44">
        <v>6</v>
      </c>
      <c r="AC43" s="44">
        <v>0</v>
      </c>
      <c r="AD43" s="44">
        <v>0</v>
      </c>
      <c r="AE43" s="44">
        <v>0</v>
      </c>
      <c r="AF43" s="44">
        <v>0</v>
      </c>
      <c r="AG43" s="46">
        <f t="shared" si="5"/>
        <v>0</v>
      </c>
    </row>
    <row r="44" spans="1:33" x14ac:dyDescent="0.25">
      <c r="A44" s="43" t="s">
        <v>19</v>
      </c>
      <c r="B44" s="44">
        <v>12</v>
      </c>
      <c r="C44" s="44">
        <v>18</v>
      </c>
      <c r="D44" s="44">
        <v>18</v>
      </c>
      <c r="E44" s="44">
        <v>7</v>
      </c>
      <c r="F44" s="44">
        <v>5</v>
      </c>
      <c r="G44" s="44">
        <v>0</v>
      </c>
      <c r="H44" s="44">
        <v>0</v>
      </c>
      <c r="I44" s="44">
        <v>0</v>
      </c>
      <c r="J44" s="44">
        <v>0</v>
      </c>
      <c r="K44" s="45">
        <f t="shared" si="3"/>
        <v>0</v>
      </c>
      <c r="L44" s="43" t="s">
        <v>20</v>
      </c>
      <c r="M44" s="44">
        <v>12</v>
      </c>
      <c r="N44" s="44">
        <v>16</v>
      </c>
      <c r="O44" s="44">
        <v>1.1100000000000001</v>
      </c>
      <c r="P44" s="44">
        <v>9</v>
      </c>
      <c r="Q44" s="44">
        <v>3</v>
      </c>
      <c r="R44" s="44">
        <v>0</v>
      </c>
      <c r="S44" s="44">
        <v>0</v>
      </c>
      <c r="T44" s="44">
        <v>0</v>
      </c>
      <c r="U44" s="44">
        <v>0</v>
      </c>
      <c r="V44" s="46">
        <f t="shared" si="4"/>
        <v>0</v>
      </c>
      <c r="W44" s="47" t="s">
        <v>21</v>
      </c>
      <c r="X44" s="44">
        <v>12</v>
      </c>
      <c r="Y44" s="44">
        <v>20.6</v>
      </c>
      <c r="Z44" s="44">
        <v>1.29</v>
      </c>
      <c r="AA44" s="44">
        <v>12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6">
        <f t="shared" si="5"/>
        <v>0</v>
      </c>
    </row>
    <row r="45" spans="1:33" x14ac:dyDescent="0.25">
      <c r="A45" s="43" t="s">
        <v>19</v>
      </c>
      <c r="B45" s="44">
        <v>12</v>
      </c>
      <c r="C45" s="44">
        <v>16.600000000000001</v>
      </c>
      <c r="D45" s="44">
        <v>16.600000000000001</v>
      </c>
      <c r="E45" s="44">
        <v>6</v>
      </c>
      <c r="F45" s="44">
        <v>6</v>
      </c>
      <c r="G45" s="44">
        <v>0</v>
      </c>
      <c r="H45" s="44">
        <v>0</v>
      </c>
      <c r="I45" s="44">
        <v>0</v>
      </c>
      <c r="J45" s="44">
        <v>0</v>
      </c>
      <c r="K45" s="45">
        <f t="shared" si="3"/>
        <v>0</v>
      </c>
      <c r="L45" s="43" t="s">
        <v>20</v>
      </c>
      <c r="M45" s="44">
        <v>12</v>
      </c>
      <c r="N45" s="44">
        <v>20.2</v>
      </c>
      <c r="O45" s="44">
        <v>1.83</v>
      </c>
      <c r="P45" s="44">
        <v>6</v>
      </c>
      <c r="Q45" s="44">
        <v>6</v>
      </c>
      <c r="R45" s="44">
        <v>0</v>
      </c>
      <c r="S45" s="44">
        <v>0</v>
      </c>
      <c r="T45" s="44">
        <v>0</v>
      </c>
      <c r="U45" s="44">
        <v>0</v>
      </c>
      <c r="V45" s="46">
        <f t="shared" si="4"/>
        <v>0</v>
      </c>
      <c r="W45" s="47" t="s">
        <v>21</v>
      </c>
      <c r="X45" s="44">
        <v>12</v>
      </c>
      <c r="Y45" s="44">
        <v>18.5</v>
      </c>
      <c r="Z45" s="44">
        <v>1.49</v>
      </c>
      <c r="AA45" s="44">
        <v>12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6">
        <f t="shared" si="5"/>
        <v>0</v>
      </c>
    </row>
    <row r="46" spans="1:33" x14ac:dyDescent="0.25">
      <c r="A46" s="43" t="s">
        <v>19</v>
      </c>
      <c r="B46" s="44">
        <v>12</v>
      </c>
      <c r="C46" s="44">
        <v>17.5</v>
      </c>
      <c r="D46" s="44">
        <v>17.5</v>
      </c>
      <c r="E46" s="44">
        <v>9</v>
      </c>
      <c r="F46" s="44">
        <v>3</v>
      </c>
      <c r="G46" s="44">
        <v>0</v>
      </c>
      <c r="H46" s="44">
        <v>0</v>
      </c>
      <c r="I46" s="44">
        <v>0</v>
      </c>
      <c r="J46" s="44">
        <v>0</v>
      </c>
      <c r="K46" s="45">
        <f t="shared" si="3"/>
        <v>0</v>
      </c>
      <c r="L46" s="43" t="s">
        <v>20</v>
      </c>
      <c r="M46" s="44">
        <v>12</v>
      </c>
      <c r="N46" s="44">
        <v>17.7</v>
      </c>
      <c r="O46" s="44">
        <v>1.38</v>
      </c>
      <c r="P46" s="44">
        <v>9</v>
      </c>
      <c r="Q46" s="44">
        <v>3</v>
      </c>
      <c r="R46" s="44">
        <v>0</v>
      </c>
      <c r="S46" s="44">
        <v>0</v>
      </c>
      <c r="T46" s="44">
        <v>0</v>
      </c>
      <c r="U46" s="44">
        <v>0</v>
      </c>
      <c r="V46" s="46">
        <f t="shared" si="4"/>
        <v>0</v>
      </c>
      <c r="W46" s="47" t="s">
        <v>21</v>
      </c>
      <c r="X46" s="44">
        <v>12</v>
      </c>
      <c r="Y46" s="44">
        <v>17.3</v>
      </c>
      <c r="Z46" s="44">
        <v>1.1399999999999999</v>
      </c>
      <c r="AA46" s="44">
        <v>8</v>
      </c>
      <c r="AB46" s="44">
        <v>4</v>
      </c>
      <c r="AC46" s="44">
        <v>0</v>
      </c>
      <c r="AD46" s="44">
        <v>0</v>
      </c>
      <c r="AE46" s="44">
        <v>0</v>
      </c>
      <c r="AF46" s="44">
        <v>0</v>
      </c>
      <c r="AG46" s="46">
        <f t="shared" si="5"/>
        <v>0</v>
      </c>
    </row>
    <row r="47" spans="1:33" x14ac:dyDescent="0.25">
      <c r="A47" s="43" t="s">
        <v>19</v>
      </c>
      <c r="B47" s="44">
        <v>12</v>
      </c>
      <c r="C47" s="44">
        <v>20.5</v>
      </c>
      <c r="D47" s="44">
        <v>20.5</v>
      </c>
      <c r="E47" s="44">
        <v>10</v>
      </c>
      <c r="F47" s="44">
        <v>2</v>
      </c>
      <c r="G47" s="44">
        <v>0</v>
      </c>
      <c r="H47" s="44">
        <v>0</v>
      </c>
      <c r="I47" s="44">
        <v>0</v>
      </c>
      <c r="J47" s="44">
        <v>0</v>
      </c>
      <c r="K47" s="45">
        <f t="shared" si="3"/>
        <v>0</v>
      </c>
      <c r="L47" s="43" t="s">
        <v>20</v>
      </c>
      <c r="M47" s="44">
        <v>12</v>
      </c>
      <c r="N47" s="44">
        <v>20.399999999999999</v>
      </c>
      <c r="O47" s="44">
        <v>2.37</v>
      </c>
      <c r="P47" s="44">
        <v>6</v>
      </c>
      <c r="Q47" s="44">
        <v>6</v>
      </c>
      <c r="R47" s="44">
        <v>0</v>
      </c>
      <c r="S47" s="44">
        <v>0</v>
      </c>
      <c r="T47" s="44">
        <v>0</v>
      </c>
      <c r="U47" s="44">
        <v>0</v>
      </c>
      <c r="V47" s="46">
        <f t="shared" si="4"/>
        <v>0</v>
      </c>
      <c r="W47" s="47" t="s">
        <v>21</v>
      </c>
      <c r="X47" s="44">
        <v>12</v>
      </c>
      <c r="Y47" s="44">
        <v>17.7</v>
      </c>
      <c r="Z47" s="44">
        <v>1.31</v>
      </c>
      <c r="AA47" s="44">
        <v>11</v>
      </c>
      <c r="AB47" s="44">
        <v>0</v>
      </c>
      <c r="AC47" s="44">
        <v>1</v>
      </c>
      <c r="AD47" s="44">
        <v>0</v>
      </c>
      <c r="AE47" s="44">
        <v>0</v>
      </c>
      <c r="AF47" s="44">
        <v>0</v>
      </c>
      <c r="AG47" s="46">
        <f t="shared" si="5"/>
        <v>1</v>
      </c>
    </row>
    <row r="48" spans="1:33" x14ac:dyDescent="0.25">
      <c r="A48" s="43" t="s">
        <v>19</v>
      </c>
      <c r="B48" s="44">
        <v>12</v>
      </c>
      <c r="C48" s="44">
        <v>16.5</v>
      </c>
      <c r="D48" s="44">
        <v>16.5</v>
      </c>
      <c r="E48" s="44">
        <v>7</v>
      </c>
      <c r="F48" s="44">
        <v>5</v>
      </c>
      <c r="G48" s="44">
        <v>0</v>
      </c>
      <c r="H48" s="44">
        <v>0</v>
      </c>
      <c r="I48" s="44">
        <v>0</v>
      </c>
      <c r="J48" s="44">
        <v>0</v>
      </c>
      <c r="K48" s="45">
        <f t="shared" si="3"/>
        <v>0</v>
      </c>
      <c r="L48" s="43" t="s">
        <v>20</v>
      </c>
      <c r="M48" s="44">
        <v>12</v>
      </c>
      <c r="N48" s="44">
        <v>17.3</v>
      </c>
      <c r="O48" s="44">
        <v>1.37</v>
      </c>
      <c r="P48" s="44">
        <v>10</v>
      </c>
      <c r="Q48" s="44">
        <v>2</v>
      </c>
      <c r="R48" s="44">
        <v>0</v>
      </c>
      <c r="S48" s="44">
        <v>0</v>
      </c>
      <c r="T48" s="44">
        <v>0</v>
      </c>
      <c r="U48" s="44">
        <v>0</v>
      </c>
      <c r="V48" s="46">
        <f t="shared" si="4"/>
        <v>0</v>
      </c>
      <c r="W48" s="47" t="s">
        <v>21</v>
      </c>
      <c r="X48" s="44">
        <v>12</v>
      </c>
      <c r="Y48" s="44">
        <v>17.100000000000001</v>
      </c>
      <c r="Z48" s="44">
        <v>1.19</v>
      </c>
      <c r="AA48" s="44">
        <v>8</v>
      </c>
      <c r="AB48" s="44">
        <v>4</v>
      </c>
      <c r="AC48" s="44">
        <v>0</v>
      </c>
      <c r="AD48" s="44">
        <v>0</v>
      </c>
      <c r="AE48" s="44">
        <v>0</v>
      </c>
      <c r="AF48" s="44">
        <v>0</v>
      </c>
      <c r="AG48" s="46">
        <f t="shared" si="5"/>
        <v>0</v>
      </c>
    </row>
    <row r="49" spans="1:33" x14ac:dyDescent="0.25">
      <c r="A49" s="43" t="s">
        <v>19</v>
      </c>
      <c r="B49" s="44">
        <v>12</v>
      </c>
      <c r="C49" s="44">
        <v>16.600000000000001</v>
      </c>
      <c r="D49" s="44">
        <v>1.1000000000000001</v>
      </c>
      <c r="E49" s="44">
        <v>8</v>
      </c>
      <c r="F49" s="44">
        <v>4</v>
      </c>
      <c r="G49" s="44">
        <v>0</v>
      </c>
      <c r="H49" s="44">
        <v>0</v>
      </c>
      <c r="I49" s="44">
        <v>0</v>
      </c>
      <c r="J49" s="44">
        <v>0</v>
      </c>
      <c r="K49" s="45">
        <f t="shared" si="3"/>
        <v>0</v>
      </c>
      <c r="L49" s="43" t="s">
        <v>20</v>
      </c>
      <c r="M49" s="44">
        <v>12</v>
      </c>
      <c r="N49" s="44">
        <v>18.399999999999999</v>
      </c>
      <c r="O49" s="44">
        <v>1.74</v>
      </c>
      <c r="P49" s="44">
        <v>9</v>
      </c>
      <c r="Q49" s="44">
        <v>2</v>
      </c>
      <c r="R49" s="44">
        <v>0</v>
      </c>
      <c r="S49" s="44">
        <v>0</v>
      </c>
      <c r="T49" s="44">
        <v>0</v>
      </c>
      <c r="U49" s="44">
        <v>0</v>
      </c>
      <c r="V49" s="46">
        <f t="shared" si="4"/>
        <v>0</v>
      </c>
      <c r="W49" s="47" t="s">
        <v>21</v>
      </c>
      <c r="X49" s="44">
        <v>12</v>
      </c>
      <c r="Y49" s="44">
        <v>17.8</v>
      </c>
      <c r="Z49" s="44">
        <v>1.3</v>
      </c>
      <c r="AA49" s="44">
        <v>10</v>
      </c>
      <c r="AB49" s="44">
        <v>2</v>
      </c>
      <c r="AC49" s="44">
        <v>0</v>
      </c>
      <c r="AD49" s="44">
        <v>0</v>
      </c>
      <c r="AE49" s="44">
        <v>0</v>
      </c>
      <c r="AF49" s="44">
        <v>0</v>
      </c>
      <c r="AG49" s="46">
        <f t="shared" si="5"/>
        <v>0</v>
      </c>
    </row>
    <row r="50" spans="1:33" x14ac:dyDescent="0.25">
      <c r="A50" s="43" t="s">
        <v>19</v>
      </c>
      <c r="B50" s="44">
        <v>12</v>
      </c>
      <c r="C50" s="44">
        <v>16</v>
      </c>
      <c r="D50" s="44">
        <v>1.03</v>
      </c>
      <c r="E50" s="44">
        <v>10</v>
      </c>
      <c r="F50" s="44">
        <v>2</v>
      </c>
      <c r="G50" s="44">
        <v>0</v>
      </c>
      <c r="H50" s="44">
        <v>0</v>
      </c>
      <c r="I50" s="44">
        <v>0</v>
      </c>
      <c r="J50" s="44">
        <v>0</v>
      </c>
      <c r="K50" s="45">
        <f t="shared" si="3"/>
        <v>0</v>
      </c>
      <c r="L50" s="43" t="s">
        <v>20</v>
      </c>
      <c r="M50" s="44">
        <v>12</v>
      </c>
      <c r="N50" s="44">
        <v>16.2</v>
      </c>
      <c r="O50" s="44">
        <v>1.1200000000000001</v>
      </c>
      <c r="P50" s="44">
        <v>9</v>
      </c>
      <c r="Q50" s="44">
        <v>3</v>
      </c>
      <c r="R50" s="44">
        <v>0</v>
      </c>
      <c r="S50" s="44">
        <v>0</v>
      </c>
      <c r="T50" s="44">
        <v>0</v>
      </c>
      <c r="U50" s="44">
        <v>0</v>
      </c>
      <c r="V50" s="46">
        <f t="shared" si="4"/>
        <v>0</v>
      </c>
      <c r="W50" s="47" t="s">
        <v>21</v>
      </c>
      <c r="X50" s="44">
        <v>12</v>
      </c>
      <c r="Y50" s="44">
        <v>16.8</v>
      </c>
      <c r="Z50" s="44">
        <v>1.21</v>
      </c>
      <c r="AA50" s="44">
        <v>10</v>
      </c>
      <c r="AB50" s="44">
        <v>2</v>
      </c>
      <c r="AC50" s="44">
        <v>0</v>
      </c>
      <c r="AD50" s="44">
        <v>0</v>
      </c>
      <c r="AE50" s="44">
        <v>0</v>
      </c>
      <c r="AF50" s="44">
        <v>0</v>
      </c>
      <c r="AG50" s="46">
        <f t="shared" si="5"/>
        <v>0</v>
      </c>
    </row>
    <row r="51" spans="1:33" x14ac:dyDescent="0.25">
      <c r="A51" s="43" t="s">
        <v>19</v>
      </c>
      <c r="B51" s="44">
        <v>12</v>
      </c>
      <c r="C51" s="44">
        <v>18.5</v>
      </c>
      <c r="D51" s="44">
        <v>1.5</v>
      </c>
      <c r="E51" s="44">
        <v>6</v>
      </c>
      <c r="F51" s="44">
        <v>5</v>
      </c>
      <c r="G51" s="44">
        <v>1</v>
      </c>
      <c r="H51" s="44">
        <v>0</v>
      </c>
      <c r="I51" s="44">
        <v>0</v>
      </c>
      <c r="J51" s="44">
        <v>0</v>
      </c>
      <c r="K51" s="45">
        <f t="shared" si="3"/>
        <v>1</v>
      </c>
      <c r="L51" s="43" t="s">
        <v>20</v>
      </c>
      <c r="M51" s="44">
        <v>12</v>
      </c>
      <c r="N51" s="44">
        <v>20.399999999999999</v>
      </c>
      <c r="O51" s="44">
        <v>1.93</v>
      </c>
      <c r="P51" s="44">
        <v>10</v>
      </c>
      <c r="Q51" s="44">
        <v>2</v>
      </c>
      <c r="R51" s="44">
        <v>0</v>
      </c>
      <c r="S51" s="44">
        <v>0</v>
      </c>
      <c r="T51" s="44">
        <v>0</v>
      </c>
      <c r="U51" s="44">
        <v>0</v>
      </c>
      <c r="V51" s="46">
        <f t="shared" si="4"/>
        <v>0</v>
      </c>
      <c r="W51" s="47" t="s">
        <v>21</v>
      </c>
      <c r="X51" s="44">
        <v>12</v>
      </c>
      <c r="Y51" s="44">
        <v>17.7</v>
      </c>
      <c r="Z51" s="44">
        <v>1.37</v>
      </c>
      <c r="AA51" s="44">
        <v>7</v>
      </c>
      <c r="AB51" s="44">
        <v>5</v>
      </c>
      <c r="AC51" s="44">
        <v>0</v>
      </c>
      <c r="AD51" s="44">
        <v>0</v>
      </c>
      <c r="AE51" s="44">
        <v>0</v>
      </c>
      <c r="AF51" s="44">
        <v>0</v>
      </c>
      <c r="AG51" s="46">
        <f t="shared" si="5"/>
        <v>0</v>
      </c>
    </row>
    <row r="52" spans="1:33" x14ac:dyDescent="0.25">
      <c r="A52" s="43" t="s">
        <v>19</v>
      </c>
      <c r="B52" s="44">
        <v>12</v>
      </c>
      <c r="C52" s="44">
        <v>18.3</v>
      </c>
      <c r="D52" s="44">
        <v>1.53</v>
      </c>
      <c r="E52" s="44">
        <v>9</v>
      </c>
      <c r="F52" s="44">
        <v>2</v>
      </c>
      <c r="G52" s="44">
        <v>1</v>
      </c>
      <c r="H52" s="44">
        <v>0</v>
      </c>
      <c r="I52" s="44">
        <v>0</v>
      </c>
      <c r="J52" s="44">
        <v>0</v>
      </c>
      <c r="K52" s="45">
        <f t="shared" si="3"/>
        <v>1</v>
      </c>
      <c r="L52" s="43" t="s">
        <v>20</v>
      </c>
      <c r="M52" s="44">
        <v>12</v>
      </c>
      <c r="N52" s="44">
        <v>17.8</v>
      </c>
      <c r="O52" s="44">
        <v>1.63</v>
      </c>
      <c r="P52" s="44">
        <v>10</v>
      </c>
      <c r="Q52" s="44">
        <v>2</v>
      </c>
      <c r="R52" s="44">
        <v>0</v>
      </c>
      <c r="S52" s="44">
        <v>0</v>
      </c>
      <c r="T52" s="44">
        <v>0</v>
      </c>
      <c r="U52" s="44">
        <v>0</v>
      </c>
      <c r="V52" s="46">
        <f t="shared" si="4"/>
        <v>0</v>
      </c>
      <c r="W52" s="47" t="s">
        <v>21</v>
      </c>
      <c r="X52" s="44">
        <v>12</v>
      </c>
      <c r="Y52" s="44">
        <v>16.899999999999999</v>
      </c>
      <c r="Z52" s="44">
        <v>1.2</v>
      </c>
      <c r="AA52" s="44">
        <v>11</v>
      </c>
      <c r="AB52" s="44">
        <v>1</v>
      </c>
      <c r="AC52" s="44">
        <v>0</v>
      </c>
      <c r="AD52" s="44">
        <v>0</v>
      </c>
      <c r="AE52" s="44">
        <v>0</v>
      </c>
      <c r="AF52" s="44">
        <v>0</v>
      </c>
      <c r="AG52" s="46">
        <f t="shared" si="5"/>
        <v>0</v>
      </c>
    </row>
    <row r="53" spans="1:33" x14ac:dyDescent="0.25">
      <c r="A53" s="43" t="s">
        <v>19</v>
      </c>
      <c r="B53" s="44">
        <v>12</v>
      </c>
      <c r="C53" s="44">
        <v>20.8</v>
      </c>
      <c r="D53" s="44">
        <v>2.0099999999999998</v>
      </c>
      <c r="E53" s="44">
        <v>8</v>
      </c>
      <c r="F53" s="44">
        <v>4</v>
      </c>
      <c r="G53" s="44">
        <v>0</v>
      </c>
      <c r="H53" s="44">
        <v>0</v>
      </c>
      <c r="I53" s="44">
        <v>0</v>
      </c>
      <c r="J53" s="44">
        <v>0</v>
      </c>
      <c r="K53" s="45">
        <f t="shared" si="3"/>
        <v>0</v>
      </c>
      <c r="L53" s="43" t="s">
        <v>20</v>
      </c>
      <c r="M53" s="44">
        <v>12</v>
      </c>
      <c r="N53" s="44">
        <v>18.3</v>
      </c>
      <c r="O53" s="44">
        <v>1.6</v>
      </c>
      <c r="P53" s="44">
        <v>6</v>
      </c>
      <c r="Q53" s="44">
        <v>6</v>
      </c>
      <c r="R53" s="44">
        <v>0</v>
      </c>
      <c r="S53" s="44">
        <v>0</v>
      </c>
      <c r="T53" s="44">
        <v>0</v>
      </c>
      <c r="U53" s="44">
        <v>0</v>
      </c>
      <c r="V53" s="46">
        <f t="shared" si="4"/>
        <v>0</v>
      </c>
      <c r="W53" s="47" t="s">
        <v>21</v>
      </c>
      <c r="X53" s="44">
        <v>12</v>
      </c>
      <c r="Y53" s="44">
        <v>17.7</v>
      </c>
      <c r="Z53" s="44">
        <v>1.36</v>
      </c>
      <c r="AA53" s="44">
        <v>9</v>
      </c>
      <c r="AB53" s="44">
        <v>3</v>
      </c>
      <c r="AC53" s="44">
        <v>0</v>
      </c>
      <c r="AD53" s="44">
        <v>0</v>
      </c>
      <c r="AE53" s="44">
        <v>0</v>
      </c>
      <c r="AF53" s="44">
        <v>0</v>
      </c>
      <c r="AG53" s="46">
        <f t="shared" si="5"/>
        <v>0</v>
      </c>
    </row>
    <row r="54" spans="1:33" x14ac:dyDescent="0.25">
      <c r="A54" s="43" t="s">
        <v>19</v>
      </c>
      <c r="B54" s="44">
        <v>12</v>
      </c>
      <c r="C54" s="44">
        <v>20</v>
      </c>
      <c r="D54" s="44">
        <v>1.77</v>
      </c>
      <c r="E54" s="44">
        <v>7</v>
      </c>
      <c r="F54" s="44">
        <v>5</v>
      </c>
      <c r="G54" s="44">
        <v>0</v>
      </c>
      <c r="H54" s="44">
        <v>0</v>
      </c>
      <c r="I54" s="44">
        <v>0</v>
      </c>
      <c r="J54" s="44">
        <v>0</v>
      </c>
      <c r="K54" s="45">
        <f t="shared" si="3"/>
        <v>0</v>
      </c>
      <c r="L54" s="43" t="s">
        <v>20</v>
      </c>
      <c r="M54" s="44">
        <v>12</v>
      </c>
      <c r="N54" s="44">
        <v>20.100000000000001</v>
      </c>
      <c r="O54" s="44">
        <v>1.83</v>
      </c>
      <c r="P54" s="44">
        <v>9</v>
      </c>
      <c r="Q54" s="44">
        <v>3</v>
      </c>
      <c r="R54" s="44">
        <v>0</v>
      </c>
      <c r="S54" s="44">
        <v>0</v>
      </c>
      <c r="T54" s="44">
        <v>0</v>
      </c>
      <c r="U54" s="44">
        <v>0</v>
      </c>
      <c r="V54" s="46">
        <f t="shared" si="4"/>
        <v>0</v>
      </c>
      <c r="W54" s="47" t="s">
        <v>21</v>
      </c>
      <c r="X54" s="44">
        <v>12</v>
      </c>
      <c r="Y54" s="44">
        <v>16.2</v>
      </c>
      <c r="Z54" s="44">
        <v>0.93</v>
      </c>
      <c r="AA54" s="44">
        <v>2</v>
      </c>
      <c r="AB54" s="44">
        <v>9</v>
      </c>
      <c r="AC54" s="44">
        <v>0</v>
      </c>
      <c r="AD54" s="44">
        <v>0</v>
      </c>
      <c r="AE54" s="44">
        <v>0</v>
      </c>
      <c r="AF54" s="44">
        <v>0</v>
      </c>
      <c r="AG54" s="46">
        <f t="shared" si="5"/>
        <v>0</v>
      </c>
    </row>
    <row r="55" spans="1:33" ht="15.75" thickBot="1" x14ac:dyDescent="0.3">
      <c r="A55" s="48" t="s">
        <v>19</v>
      </c>
      <c r="B55" s="49">
        <v>12</v>
      </c>
      <c r="C55" s="49">
        <v>18.3</v>
      </c>
      <c r="D55" s="49">
        <v>1.56</v>
      </c>
      <c r="E55" s="49">
        <v>10</v>
      </c>
      <c r="F55" s="49">
        <v>2</v>
      </c>
      <c r="G55" s="49">
        <v>0</v>
      </c>
      <c r="H55" s="49">
        <v>0</v>
      </c>
      <c r="I55" s="49">
        <v>0</v>
      </c>
      <c r="J55" s="49">
        <v>0</v>
      </c>
      <c r="K55" s="50">
        <f t="shared" si="3"/>
        <v>0</v>
      </c>
      <c r="L55" s="48" t="s">
        <v>20</v>
      </c>
      <c r="M55" s="49">
        <v>12</v>
      </c>
      <c r="N55" s="49">
        <v>18.3</v>
      </c>
      <c r="O55" s="49">
        <v>1.83</v>
      </c>
      <c r="P55" s="49">
        <v>9</v>
      </c>
      <c r="Q55" s="49">
        <v>3</v>
      </c>
      <c r="R55" s="49">
        <v>0</v>
      </c>
      <c r="S55" s="49">
        <v>0</v>
      </c>
      <c r="T55" s="49">
        <v>0</v>
      </c>
      <c r="U55" s="49">
        <v>0</v>
      </c>
      <c r="V55" s="51">
        <f t="shared" si="4"/>
        <v>0</v>
      </c>
      <c r="W55" s="52" t="s">
        <v>21</v>
      </c>
      <c r="X55" s="49">
        <v>12</v>
      </c>
      <c r="Y55" s="49">
        <v>17.5</v>
      </c>
      <c r="Z55" s="49">
        <v>1.8</v>
      </c>
      <c r="AA55" s="49">
        <v>6</v>
      </c>
      <c r="AB55" s="49">
        <v>6</v>
      </c>
      <c r="AC55" s="49">
        <v>0</v>
      </c>
      <c r="AD55" s="49">
        <v>0</v>
      </c>
      <c r="AE55" s="49">
        <v>0</v>
      </c>
      <c r="AF55" s="49">
        <v>0</v>
      </c>
      <c r="AG55" s="51">
        <f t="shared" si="5"/>
        <v>0</v>
      </c>
    </row>
  </sheetData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Experiment 1</vt:lpstr>
      <vt:lpstr>Experiment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Antonín Kouba</dc:creator>
  <dc:description/>
  <cp:lastModifiedBy>Ismael soto</cp:lastModifiedBy>
  <cp:revision>4</cp:revision>
  <cp:lastPrinted>2022-06-09T09:47:39Z</cp:lastPrinted>
  <dcterms:created xsi:type="dcterms:W3CDTF">2015-06-05T18:19:34Z</dcterms:created>
  <dcterms:modified xsi:type="dcterms:W3CDTF">2026-07-15T07:50:24Z</dcterms:modified>
  <dc:language>en-US</dc:language>
</cp:coreProperties>
</file>