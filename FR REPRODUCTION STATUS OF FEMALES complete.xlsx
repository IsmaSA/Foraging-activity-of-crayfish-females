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Experiment 1" sheetId="1" state="visible" r:id="rId3"/>
    <sheet name="Experiment 2" sheetId="2" state="visible" r:id="rId4"/>
    <sheet name="Video recording_Experiment 3" sheetId="3" state="visible" r:id="rId5"/>
    <sheet name="Temp_recording experimen_3" sheetId="4" state="visible" r:id="rId6"/>
    <sheet name="Temp_Experiment 2" sheetId="5" state="visible" r:id="rId7"/>
    <sheet name="Partial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<sst xmlns="http://schemas.openxmlformats.org/spreadsheetml/2006/main" count="982" uniqueCount="131">
  <si>
    <t xml:space="preserve">Code</t>
  </si>
  <si>
    <t xml:space="preserve">prey</t>
  </si>
  <si>
    <t xml:space="preserve">letter</t>
  </si>
  <si>
    <t xml:space="preserve">CL</t>
  </si>
  <si>
    <t xml:space="preserve">Weight</t>
  </si>
  <si>
    <t xml:space="preserve">notes</t>
  </si>
  <si>
    <t xml:space="preserve">Alive</t>
  </si>
  <si>
    <t xml:space="preserve">Partial</t>
  </si>
  <si>
    <t xml:space="preserve">N</t>
  </si>
  <si>
    <t xml:space="preserve">A</t>
  </si>
  <si>
    <t xml:space="preserve">G</t>
  </si>
  <si>
    <t xml:space="preserve">E</t>
  </si>
  <si>
    <t xml:space="preserve">B</t>
  </si>
  <si>
    <t xml:space="preserve">PO</t>
  </si>
  <si>
    <t xml:space="preserve">C</t>
  </si>
  <si>
    <t xml:space="preserve">LO</t>
  </si>
  <si>
    <t xml:space="preserve">D</t>
  </si>
  <si>
    <t xml:space="preserve">POLO</t>
  </si>
  <si>
    <r>
      <rPr>
        <b val="true"/>
        <sz val="11"/>
        <color theme="1"/>
        <rFont val="Calibri"/>
        <family val="2"/>
        <charset val="238"/>
      </rPr>
      <t xml:space="preserve">24 h acclimation, 4 h trial (10:14 h), light 6-20 h, t 22</t>
    </r>
    <r>
      <rPr>
        <b val="true"/>
        <sz val="11"/>
        <color theme="1"/>
        <rFont val="Segoe UI"/>
        <family val="2"/>
        <charset val="238"/>
      </rPr>
      <t xml:space="preserve">℃</t>
    </r>
    <r>
      <rPr>
        <b val="true"/>
        <sz val="11"/>
        <color theme="1"/>
        <rFont val="Calibri"/>
        <family val="2"/>
        <charset val="238"/>
      </rPr>
      <t xml:space="preserve">, CL 16-21 mm, San to San before the conference; NO shelter provided</t>
    </r>
  </si>
  <si>
    <t xml:space="preserve">N  - non-reproductive</t>
  </si>
  <si>
    <t xml:space="preserve">G - glands</t>
  </si>
  <si>
    <t xml:space="preserve">E - eggs</t>
  </si>
  <si>
    <t xml:space="preserve">Weight of prey</t>
  </si>
  <si>
    <t xml:space="preserve">Survival of prey</t>
  </si>
  <si>
    <t xml:space="preserve">EXCLUDED</t>
  </si>
  <si>
    <t xml:space="preserve">fallen</t>
  </si>
  <si>
    <t xml:space="preserve">Laying</t>
  </si>
  <si>
    <t xml:space="preserve">Small</t>
  </si>
  <si>
    <t xml:space="preserve">8,1/95</t>
  </si>
  <si>
    <t xml:space="preserve">7,6/89</t>
  </si>
  <si>
    <t xml:space="preserve">Large</t>
  </si>
  <si>
    <t xml:space="preserve">molting</t>
  </si>
  <si>
    <t xml:space="preserve">7,6/90</t>
  </si>
  <si>
    <t xml:space="preserve">7,9/92</t>
  </si>
  <si>
    <t xml:space="preserve">mg</t>
  </si>
  <si>
    <t xml:space="preserve">G+1</t>
  </si>
  <si>
    <t xml:space="preserve">E+1</t>
  </si>
  <si>
    <t xml:space="preserve">N+1</t>
  </si>
  <si>
    <t xml:space="preserve">G+2</t>
  </si>
  <si>
    <t xml:space="preserve">E+2</t>
  </si>
  <si>
    <t xml:space="preserve">N+2</t>
  </si>
  <si>
    <t xml:space="preserve">G+3</t>
  </si>
  <si>
    <t xml:space="preserve">E+3</t>
  </si>
  <si>
    <t xml:space="preserve">N+3</t>
  </si>
  <si>
    <t xml:space="preserve">G+4</t>
  </si>
  <si>
    <t xml:space="preserve">E+4</t>
  </si>
  <si>
    <t xml:space="preserve">N+4</t>
  </si>
  <si>
    <t xml:space="preserve">G+5</t>
  </si>
  <si>
    <t xml:space="preserve">E+5</t>
  </si>
  <si>
    <t xml:space="preserve">N+5</t>
  </si>
  <si>
    <t xml:space="preserve">G+6</t>
  </si>
  <si>
    <t xml:space="preserve">E+6</t>
  </si>
  <si>
    <t xml:space="preserve">N+6</t>
  </si>
  <si>
    <t xml:space="preserve">G+7</t>
  </si>
  <si>
    <t xml:space="preserve">E+7</t>
  </si>
  <si>
    <t xml:space="preserve">N+7</t>
  </si>
  <si>
    <t xml:space="preserve">G+8</t>
  </si>
  <si>
    <t xml:space="preserve">E+8</t>
  </si>
  <si>
    <t xml:space="preserve">N+8</t>
  </si>
  <si>
    <t xml:space="preserve">G+9</t>
  </si>
  <si>
    <t xml:space="preserve">E+9</t>
  </si>
  <si>
    <t xml:space="preserve">N+9</t>
  </si>
  <si>
    <t xml:space="preserve">G+10</t>
  </si>
  <si>
    <t xml:space="preserve">E+10</t>
  </si>
  <si>
    <t xml:space="preserve">N+10</t>
  </si>
  <si>
    <t xml:space="preserve">G+11</t>
  </si>
  <si>
    <t xml:space="preserve">E+11</t>
  </si>
  <si>
    <t xml:space="preserve">N+11</t>
  </si>
  <si>
    <t xml:space="preserve">G+12</t>
  </si>
  <si>
    <t xml:space="preserve">E+12</t>
  </si>
  <si>
    <t xml:space="preserve">N+12</t>
  </si>
  <si>
    <t xml:space="preserve">G+13</t>
  </si>
  <si>
    <t xml:space="preserve">E+13</t>
  </si>
  <si>
    <t xml:space="preserve">N+13</t>
  </si>
  <si>
    <t xml:space="preserve">G+0</t>
  </si>
  <si>
    <t xml:space="preserve">E+0</t>
  </si>
  <si>
    <t xml:space="preserve">N+0</t>
  </si>
  <si>
    <t xml:space="preserve">G-1</t>
  </si>
  <si>
    <t xml:space="preserve">E-1</t>
  </si>
  <si>
    <t xml:space="preserve">N-1</t>
  </si>
  <si>
    <t xml:space="preserve">G-2</t>
  </si>
  <si>
    <t xml:space="preserve">E-2</t>
  </si>
  <si>
    <t xml:space="preserve">N-2</t>
  </si>
  <si>
    <t xml:space="preserve">G-3</t>
  </si>
  <si>
    <t xml:space="preserve">E-3</t>
  </si>
  <si>
    <t xml:space="preserve">N-3</t>
  </si>
  <si>
    <t xml:space="preserve">G-4</t>
  </si>
  <si>
    <t xml:space="preserve">E-4</t>
  </si>
  <si>
    <t xml:space="preserve">N-4</t>
  </si>
  <si>
    <t xml:space="preserve">G-5</t>
  </si>
  <si>
    <t xml:space="preserve">E-5</t>
  </si>
  <si>
    <t xml:space="preserve">N-5</t>
  </si>
  <si>
    <t xml:space="preserve">G-6</t>
  </si>
  <si>
    <t xml:space="preserve">E-6</t>
  </si>
  <si>
    <t xml:space="preserve">N-6</t>
  </si>
  <si>
    <t xml:space="preserve">G-7</t>
  </si>
  <si>
    <t xml:space="preserve">E-7</t>
  </si>
  <si>
    <t xml:space="preserve">N-7</t>
  </si>
  <si>
    <t xml:space="preserve">G-8</t>
  </si>
  <si>
    <t xml:space="preserve">E-8</t>
  </si>
  <si>
    <t xml:space="preserve">N-8</t>
  </si>
  <si>
    <t xml:space="preserve">G-9</t>
  </si>
  <si>
    <t xml:space="preserve">E-9</t>
  </si>
  <si>
    <t xml:space="preserve">N-9</t>
  </si>
  <si>
    <t xml:space="preserve">G-10</t>
  </si>
  <si>
    <t xml:space="preserve">E-10</t>
  </si>
  <si>
    <t xml:space="preserve">N-10</t>
  </si>
  <si>
    <t xml:space="preserve">G-11</t>
  </si>
  <si>
    <t xml:space="preserve">E-11</t>
  </si>
  <si>
    <t xml:space="preserve">N-11</t>
  </si>
  <si>
    <t xml:space="preserve">G-12</t>
  </si>
  <si>
    <t xml:space="preserve">E-12</t>
  </si>
  <si>
    <t xml:space="preserve">N-12</t>
  </si>
  <si>
    <t xml:space="preserve">G-13</t>
  </si>
  <si>
    <t xml:space="preserve">E-13</t>
  </si>
  <si>
    <t xml:space="preserve">N-13</t>
  </si>
  <si>
    <t xml:space="preserve">G-0</t>
  </si>
  <si>
    <t xml:space="preserve">E-0</t>
  </si>
  <si>
    <t xml:space="preserve">N-0</t>
  </si>
  <si>
    <t xml:space="preserve">+</t>
  </si>
  <si>
    <t xml:space="preserve">L0</t>
  </si>
  <si>
    <t xml:space="preserve">-</t>
  </si>
  <si>
    <t xml:space="preserve">R0</t>
  </si>
  <si>
    <r>
      <rPr>
        <b val="true"/>
        <sz val="11"/>
        <color rgb="FF000000"/>
        <rFont val="Calibri"/>
        <family val="2"/>
        <charset val="238"/>
      </rPr>
      <t xml:space="preserve">24 h acclimation, 4 h trial_ video recording (10:14 h), light 6-20 h, t 22</t>
    </r>
    <r>
      <rPr>
        <b val="true"/>
        <sz val="11"/>
        <color rgb="FF000000"/>
        <rFont val="Segoe UI"/>
        <family val="2"/>
        <charset val="238"/>
      </rPr>
      <t xml:space="preserve">℃</t>
    </r>
    <r>
      <rPr>
        <b val="true"/>
        <sz val="11"/>
        <color rgb="FF000000"/>
        <rFont val="Calibri"/>
        <family val="2"/>
        <charset val="238"/>
      </rPr>
      <t xml:space="preserve">, CL 16-21 mm, San to San;  shelter provided</t>
    </r>
  </si>
  <si>
    <t xml:space="preserve">Time</t>
  </si>
  <si>
    <t xml:space="preserve">1. Temperature [oC]</t>
  </si>
  <si>
    <t xml:space="preserve">Average</t>
  </si>
  <si>
    <t xml:space="preserve">SD</t>
  </si>
  <si>
    <t xml:space="preserve">SE</t>
  </si>
  <si>
    <t xml:space="preserve">Prey_density</t>
  </si>
  <si>
    <t xml:space="preserve">Group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</si>
</sst>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General"/>
    <numFmt numFmtId="167" formatCode="mmm\-yy"/>
    <numFmt numFmtId="168" formatCode="0.00"/>
    <numFmt numFmtId="169" formatCode="m/d/yyyy"/>
    <numFmt numFmtId="170" formatCode="0.0"/>
    <numFmt numFmtId="171" formatCode="m/d/yyyy\ h:mm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238"/>
    </font>
    <font>
      <sz val="11"/>
      <name val="Calibri"/>
      <family val="2"/>
      <charset val="1"/>
    </font>
    <font>
      <sz val="11"/>
      <name val="Calibri"/>
      <family val="2"/>
      <charset val="238"/>
    </font>
    <font>
      <sz val="11"/>
      <color theme="0"/>
      <name val="Calibri"/>
      <family val="2"/>
      <charset val="1"/>
    </font>
    <font>
      <b val="true"/>
      <sz val="11"/>
      <color theme="1"/>
      <name val="Segoe UI"/>
      <family val="2"/>
      <charset val="238"/>
    </font>
    <font>
      <b val="true"/>
      <sz val="11"/>
      <color theme="1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rgb="FF000000"/>
      <name val="Calibri"/>
      <family val="2"/>
      <charset val="238"/>
    </font>
    <font>
      <b val="true"/>
      <sz val="11"/>
      <color rgb="FF000000"/>
      <name val="Segoe UI"/>
      <family val="2"/>
      <charset val="238"/>
    </font>
    <font>
      <sz val="14"/>
      <color rgb="FF595959"/>
      <name val="Calibri"/>
      <family val="2"/>
    </font>
    <font>
      <sz val="9"/>
      <color rgb="FF59595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F4C6"/>
        <bgColor rgb="FFCCFFFF"/>
      </patternFill>
    </fill>
    <fill>
      <patternFill patternType="solid">
        <fgColor theme="2"/>
        <bgColor rgb="FFD9D9D9"/>
      </patternFill>
    </fill>
    <fill>
      <patternFill patternType="solid">
        <fgColor theme="0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rgb="FF003300"/>
      </patternFill>
    </fill>
  </fills>
  <borders count="3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1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3" borderId="1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2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4" borderId="1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4" borderId="1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2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4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4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4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4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4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4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4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5" borderId="3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E7E6E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4C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1. Temperature [oC]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'Temp_Experiment 2'!$B$1</c:f>
              <c:strCache>
                <c:ptCount val="1"/>
                <c:pt idx="0">
                  <c:v>1. Temperature [oC]</c:v>
                </c:pt>
              </c:strCache>
            </c:strRef>
          </c:tx>
          <c:spPr>
            <a:solidFill>
              <a:srgbClr val="5b9bd5"/>
            </a:solidFill>
            <a:ln w="19080">
              <a:noFill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'Temp_Experiment 2'!$A$2:$A$97</c:f>
              <c:numCache>
                <c:formatCode>m/d/yyyy</c:formatCode>
                <c:ptCount val="96"/>
                <c:pt idx="0">
                  <c:v>44727</c:v>
                </c:pt>
                <c:pt idx="1">
                  <c:v>44727.0416666667</c:v>
                </c:pt>
                <c:pt idx="2">
                  <c:v>44727.0833333333</c:v>
                </c:pt>
                <c:pt idx="3">
                  <c:v>44727.125</c:v>
                </c:pt>
                <c:pt idx="4">
                  <c:v>44727.1666666667</c:v>
                </c:pt>
                <c:pt idx="5">
                  <c:v>44727.2083333333</c:v>
                </c:pt>
                <c:pt idx="6">
                  <c:v>44727.25</c:v>
                </c:pt>
                <c:pt idx="7">
                  <c:v>44727.2916666667</c:v>
                </c:pt>
                <c:pt idx="8">
                  <c:v>44727.3333333333</c:v>
                </c:pt>
                <c:pt idx="9">
                  <c:v>44727.375</c:v>
                </c:pt>
                <c:pt idx="10">
                  <c:v>44727.4166666667</c:v>
                </c:pt>
                <c:pt idx="11">
                  <c:v>44727.4583333333</c:v>
                </c:pt>
                <c:pt idx="12">
                  <c:v>44727.5</c:v>
                </c:pt>
                <c:pt idx="13">
                  <c:v>44727.5416666667</c:v>
                </c:pt>
                <c:pt idx="14">
                  <c:v>44727.5833333333</c:v>
                </c:pt>
                <c:pt idx="15">
                  <c:v>44727.625</c:v>
                </c:pt>
                <c:pt idx="16">
                  <c:v>44727.6666666667</c:v>
                </c:pt>
                <c:pt idx="17">
                  <c:v>44727.7083333333</c:v>
                </c:pt>
                <c:pt idx="18">
                  <c:v>44727.75</c:v>
                </c:pt>
                <c:pt idx="19">
                  <c:v>44727.7916666667</c:v>
                </c:pt>
                <c:pt idx="20">
                  <c:v>44727.8333333333</c:v>
                </c:pt>
                <c:pt idx="21">
                  <c:v>44727.875</c:v>
                </c:pt>
                <c:pt idx="22">
                  <c:v>44727.9166666667</c:v>
                </c:pt>
                <c:pt idx="23">
                  <c:v>44727.9583333333</c:v>
                </c:pt>
                <c:pt idx="24">
                  <c:v>44728</c:v>
                </c:pt>
                <c:pt idx="25">
                  <c:v>44728.0416666667</c:v>
                </c:pt>
                <c:pt idx="26">
                  <c:v>44728.0833333333</c:v>
                </c:pt>
                <c:pt idx="27">
                  <c:v>44728.125</c:v>
                </c:pt>
                <c:pt idx="28">
                  <c:v>44728.1666666667</c:v>
                </c:pt>
                <c:pt idx="29">
                  <c:v>44728.2083333333</c:v>
                </c:pt>
                <c:pt idx="30">
                  <c:v>44728.25</c:v>
                </c:pt>
                <c:pt idx="31">
                  <c:v>44728.2916666667</c:v>
                </c:pt>
                <c:pt idx="32">
                  <c:v>44728.3333333333</c:v>
                </c:pt>
                <c:pt idx="33">
                  <c:v>44728.375</c:v>
                </c:pt>
                <c:pt idx="34">
                  <c:v>44728.4166666667</c:v>
                </c:pt>
                <c:pt idx="35">
                  <c:v>44728.4583333333</c:v>
                </c:pt>
                <c:pt idx="36">
                  <c:v>44728.5</c:v>
                </c:pt>
                <c:pt idx="37">
                  <c:v>44728.5416666667</c:v>
                </c:pt>
                <c:pt idx="38">
                  <c:v>44728.5833333333</c:v>
                </c:pt>
                <c:pt idx="39">
                  <c:v>44728.625</c:v>
                </c:pt>
                <c:pt idx="40">
                  <c:v>44728.6666666667</c:v>
                </c:pt>
                <c:pt idx="41">
                  <c:v>44728.7083333333</c:v>
                </c:pt>
                <c:pt idx="42">
                  <c:v>44728.75</c:v>
                </c:pt>
                <c:pt idx="43">
                  <c:v>44728.7916666667</c:v>
                </c:pt>
                <c:pt idx="44">
                  <c:v>44728.8333333333</c:v>
                </c:pt>
                <c:pt idx="45">
                  <c:v>44728.875</c:v>
                </c:pt>
                <c:pt idx="46">
                  <c:v>44728.9166666667</c:v>
                </c:pt>
                <c:pt idx="47">
                  <c:v>44728.9583333333</c:v>
                </c:pt>
                <c:pt idx="48">
                  <c:v>44729</c:v>
                </c:pt>
                <c:pt idx="49">
                  <c:v>44729.0416666667</c:v>
                </c:pt>
                <c:pt idx="50">
                  <c:v>44729.0833333333</c:v>
                </c:pt>
                <c:pt idx="51">
                  <c:v>44729.125</c:v>
                </c:pt>
                <c:pt idx="52">
                  <c:v>44729.1666666667</c:v>
                </c:pt>
                <c:pt idx="53">
                  <c:v>44729.2083333333</c:v>
                </c:pt>
                <c:pt idx="54">
                  <c:v>44729.25</c:v>
                </c:pt>
                <c:pt idx="55">
                  <c:v>44729.2916666667</c:v>
                </c:pt>
                <c:pt idx="56">
                  <c:v>44729.3333333333</c:v>
                </c:pt>
                <c:pt idx="57">
                  <c:v>44729.375</c:v>
                </c:pt>
                <c:pt idx="58">
                  <c:v>44729.4166666667</c:v>
                </c:pt>
                <c:pt idx="59">
                  <c:v>44729.4583333333</c:v>
                </c:pt>
                <c:pt idx="60">
                  <c:v>44729.5</c:v>
                </c:pt>
                <c:pt idx="61">
                  <c:v>44729.5416666667</c:v>
                </c:pt>
                <c:pt idx="62">
                  <c:v>44729.5833333333</c:v>
                </c:pt>
                <c:pt idx="63">
                  <c:v>44729.625</c:v>
                </c:pt>
                <c:pt idx="64">
                  <c:v>44729.6666666667</c:v>
                </c:pt>
                <c:pt idx="65">
                  <c:v>44729.7083333333</c:v>
                </c:pt>
                <c:pt idx="66">
                  <c:v>44729.75</c:v>
                </c:pt>
                <c:pt idx="67">
                  <c:v>44729.7916666667</c:v>
                </c:pt>
                <c:pt idx="68">
                  <c:v>44729.8333333333</c:v>
                </c:pt>
                <c:pt idx="69">
                  <c:v>44729.875</c:v>
                </c:pt>
                <c:pt idx="70">
                  <c:v>44729.9166666667</c:v>
                </c:pt>
                <c:pt idx="71">
                  <c:v>44729.9583333333</c:v>
                </c:pt>
                <c:pt idx="72">
                  <c:v>44730</c:v>
                </c:pt>
                <c:pt idx="73">
                  <c:v>44730.0416666667</c:v>
                </c:pt>
                <c:pt idx="74">
                  <c:v>44730.0833333333</c:v>
                </c:pt>
                <c:pt idx="75">
                  <c:v>44730.125</c:v>
                </c:pt>
                <c:pt idx="76">
                  <c:v>44730.1666666667</c:v>
                </c:pt>
                <c:pt idx="77">
                  <c:v>44730.2083333333</c:v>
                </c:pt>
                <c:pt idx="78">
                  <c:v>44730.25</c:v>
                </c:pt>
                <c:pt idx="79">
                  <c:v>44730.2916666667</c:v>
                </c:pt>
                <c:pt idx="80">
                  <c:v>44730.3333333333</c:v>
                </c:pt>
                <c:pt idx="81">
                  <c:v>44730.375</c:v>
                </c:pt>
                <c:pt idx="82">
                  <c:v>44730.4166666667</c:v>
                </c:pt>
                <c:pt idx="83">
                  <c:v>44730.4583333333</c:v>
                </c:pt>
                <c:pt idx="84">
                  <c:v>44730.5</c:v>
                </c:pt>
                <c:pt idx="85">
                  <c:v>44730.5416666667</c:v>
                </c:pt>
                <c:pt idx="86">
                  <c:v>44730.5833333333</c:v>
                </c:pt>
                <c:pt idx="87">
                  <c:v>44730.625</c:v>
                </c:pt>
                <c:pt idx="88">
                  <c:v>44730.6666666667</c:v>
                </c:pt>
                <c:pt idx="89">
                  <c:v>44730.7083333333</c:v>
                </c:pt>
                <c:pt idx="90">
                  <c:v>44730.75</c:v>
                </c:pt>
                <c:pt idx="91">
                  <c:v>44730.7916666667</c:v>
                </c:pt>
                <c:pt idx="92">
                  <c:v>44730.8333333333</c:v>
                </c:pt>
                <c:pt idx="93">
                  <c:v>44730.875</c:v>
                </c:pt>
                <c:pt idx="94">
                  <c:v>44730.9166666667</c:v>
                </c:pt>
                <c:pt idx="95">
                  <c:v>44730.9583333333</c:v>
                </c:pt>
              </c:numCache>
            </c:numRef>
          </c:xVal>
          <c:yVal>
            <c:numRef>
              <c:f>'Temp_Experiment 2'!$B$2:$B$97</c:f>
              <c:numCache>
                <c:formatCode>General</c:formatCode>
                <c:ptCount val="96"/>
                <c:pt idx="0">
                  <c:v>20.7968997955322</c:v>
                </c:pt>
                <c:pt idx="1">
                  <c:v>20.7733993530273</c:v>
                </c:pt>
                <c:pt idx="2">
                  <c:v>20.75</c:v>
                </c:pt>
                <c:pt idx="3">
                  <c:v>20.7968997955322</c:v>
                </c:pt>
                <c:pt idx="4">
                  <c:v>20.8593997955322</c:v>
                </c:pt>
                <c:pt idx="5">
                  <c:v>20.7733993530273</c:v>
                </c:pt>
                <c:pt idx="6">
                  <c:v>20.7812004089355</c:v>
                </c:pt>
                <c:pt idx="7">
                  <c:v>20.7812004089355</c:v>
                </c:pt>
                <c:pt idx="8">
                  <c:v>20.6483993530273</c:v>
                </c:pt>
                <c:pt idx="9">
                  <c:v>20.75</c:v>
                </c:pt>
                <c:pt idx="10">
                  <c:v>20.7812004089355</c:v>
                </c:pt>
                <c:pt idx="11">
                  <c:v>20.7812004089355</c:v>
                </c:pt>
                <c:pt idx="12">
                  <c:v>20.7656002044678</c:v>
                </c:pt>
                <c:pt idx="13">
                  <c:v>20.3437995910645</c:v>
                </c:pt>
                <c:pt idx="14">
                  <c:v>20.9766006469727</c:v>
                </c:pt>
                <c:pt idx="15">
                  <c:v>20.9375</c:v>
                </c:pt>
                <c:pt idx="16">
                  <c:v>20.9218997955322</c:v>
                </c:pt>
                <c:pt idx="17">
                  <c:v>20.9531002044678</c:v>
                </c:pt>
                <c:pt idx="18">
                  <c:v>20.9531002044678</c:v>
                </c:pt>
                <c:pt idx="19">
                  <c:v>20.8906002044678</c:v>
                </c:pt>
                <c:pt idx="20">
                  <c:v>21.0077991485596</c:v>
                </c:pt>
                <c:pt idx="21">
                  <c:v>20.8827991485596</c:v>
                </c:pt>
                <c:pt idx="22">
                  <c:v>21</c:v>
                </c:pt>
                <c:pt idx="23">
                  <c:v>20.8983993530273</c:v>
                </c:pt>
                <c:pt idx="24">
                  <c:v>20.8827991485596</c:v>
                </c:pt>
                <c:pt idx="25">
                  <c:v>20.9218997955322</c:v>
                </c:pt>
                <c:pt idx="26">
                  <c:v>20.9452991485596</c:v>
                </c:pt>
                <c:pt idx="27">
                  <c:v>20.8906002044678</c:v>
                </c:pt>
                <c:pt idx="28">
                  <c:v>20.875</c:v>
                </c:pt>
                <c:pt idx="29">
                  <c:v>20.8827991485596</c:v>
                </c:pt>
                <c:pt idx="30">
                  <c:v>20.9218997955322</c:v>
                </c:pt>
                <c:pt idx="31">
                  <c:v>21.0077991485596</c:v>
                </c:pt>
                <c:pt idx="32">
                  <c:v>20.9218997955322</c:v>
                </c:pt>
                <c:pt idx="33">
                  <c:v>20.8437995910645</c:v>
                </c:pt>
                <c:pt idx="34">
                  <c:v>20.9766006469727</c:v>
                </c:pt>
                <c:pt idx="35">
                  <c:v>21.0156002044678</c:v>
                </c:pt>
                <c:pt idx="36">
                  <c:v>21.0077991485596</c:v>
                </c:pt>
                <c:pt idx="37">
                  <c:v>21.0312004089355</c:v>
                </c:pt>
                <c:pt idx="38">
                  <c:v>20.0702991485596</c:v>
                </c:pt>
                <c:pt idx="39">
                  <c:v>21.3437995910645</c:v>
                </c:pt>
                <c:pt idx="40">
                  <c:v>21.2968997955322</c:v>
                </c:pt>
                <c:pt idx="41">
                  <c:v>21.2266006469727</c:v>
                </c:pt>
                <c:pt idx="42">
                  <c:v>21.2108993530273</c:v>
                </c:pt>
                <c:pt idx="43">
                  <c:v>21.1875</c:v>
                </c:pt>
                <c:pt idx="44">
                  <c:v>21.125</c:v>
                </c:pt>
                <c:pt idx="45">
                  <c:v>21.0468997955322</c:v>
                </c:pt>
                <c:pt idx="46">
                  <c:v>21.0858993530273</c:v>
                </c:pt>
                <c:pt idx="47">
                  <c:v>21.0391006469727</c:v>
                </c:pt>
                <c:pt idx="48">
                  <c:v>21.0391006469727</c:v>
                </c:pt>
                <c:pt idx="49">
                  <c:v>21.0468997955322</c:v>
                </c:pt>
                <c:pt idx="50">
                  <c:v>21.0625</c:v>
                </c:pt>
                <c:pt idx="51">
                  <c:v>21.0156002044678</c:v>
                </c:pt>
                <c:pt idx="52">
                  <c:v>20.9062004089355</c:v>
                </c:pt>
                <c:pt idx="53">
                  <c:v>20.9922008514404</c:v>
                </c:pt>
                <c:pt idx="54">
                  <c:v>21.0233993530273</c:v>
                </c:pt>
                <c:pt idx="55">
                  <c:v>20.9452991485596</c:v>
                </c:pt>
                <c:pt idx="56">
                  <c:v>20.9843997955322</c:v>
                </c:pt>
                <c:pt idx="57">
                  <c:v>20.7733993530273</c:v>
                </c:pt>
                <c:pt idx="58">
                  <c:v>20.0702991485596</c:v>
                </c:pt>
                <c:pt idx="59">
                  <c:v>21.0468997955322</c:v>
                </c:pt>
                <c:pt idx="60">
                  <c:v>21.125</c:v>
                </c:pt>
                <c:pt idx="61">
                  <c:v>21.0547008514404</c:v>
                </c:pt>
                <c:pt idx="62">
                  <c:v>21.0937995910645</c:v>
                </c:pt>
                <c:pt idx="63">
                  <c:v>21.0858993530273</c:v>
                </c:pt>
                <c:pt idx="64">
                  <c:v>21.0781002044678</c:v>
                </c:pt>
                <c:pt idx="65">
                  <c:v>21.0468997955322</c:v>
                </c:pt>
                <c:pt idx="66">
                  <c:v>21.1327991485596</c:v>
                </c:pt>
                <c:pt idx="67">
                  <c:v>21.0312004089355</c:v>
                </c:pt>
                <c:pt idx="68">
                  <c:v>21.0547008514404</c:v>
                </c:pt>
                <c:pt idx="69">
                  <c:v>21</c:v>
                </c:pt>
                <c:pt idx="70">
                  <c:v>21.0233993530273</c:v>
                </c:pt>
                <c:pt idx="71">
                  <c:v>20.9766006469727</c:v>
                </c:pt>
                <c:pt idx="72">
                  <c:v>21.0233993530273</c:v>
                </c:pt>
                <c:pt idx="73">
                  <c:v>21.0547008514404</c:v>
                </c:pt>
                <c:pt idx="74">
                  <c:v>20.9922008514404</c:v>
                </c:pt>
                <c:pt idx="75">
                  <c:v>20.9922008514404</c:v>
                </c:pt>
                <c:pt idx="76">
                  <c:v>21.0077991485596</c:v>
                </c:pt>
                <c:pt idx="77">
                  <c:v>21.0547008514404</c:v>
                </c:pt>
                <c:pt idx="78">
                  <c:v>21</c:v>
                </c:pt>
                <c:pt idx="79">
                  <c:v>21.0702991485596</c:v>
                </c:pt>
                <c:pt idx="80">
                  <c:v>21</c:v>
                </c:pt>
                <c:pt idx="81">
                  <c:v>20.8047008514404</c:v>
                </c:pt>
                <c:pt idx="82">
                  <c:v>20.9218997955322</c:v>
                </c:pt>
                <c:pt idx="83">
                  <c:v>21.0312004089355</c:v>
                </c:pt>
                <c:pt idx="84">
                  <c:v>21.0156002044678</c:v>
                </c:pt>
                <c:pt idx="85">
                  <c:v>20.8358993530273</c:v>
                </c:pt>
                <c:pt idx="86">
                  <c:v>20.75</c:v>
                </c:pt>
                <c:pt idx="87">
                  <c:v>20.8593997955322</c:v>
                </c:pt>
                <c:pt idx="88">
                  <c:v>20.8516006469727</c:v>
                </c:pt>
                <c:pt idx="89">
                  <c:v>20.8125</c:v>
                </c:pt>
                <c:pt idx="90">
                  <c:v>20.875</c:v>
                </c:pt>
                <c:pt idx="91">
                  <c:v>20.8281002044678</c:v>
                </c:pt>
                <c:pt idx="92">
                  <c:v>20.8672008514404</c:v>
                </c:pt>
                <c:pt idx="93">
                  <c:v>20.8125</c:v>
                </c:pt>
                <c:pt idx="94">
                  <c:v>20.8983993530273</c:v>
                </c:pt>
                <c:pt idx="95">
                  <c:v>20.8983993530273</c:v>
                </c:pt>
              </c:numCache>
            </c:numRef>
          </c:yVal>
          <c:smooth val="0"/>
        </c:ser>
        <c:axId val="61000004"/>
        <c:axId val="4861666"/>
      </c:scatterChart>
      <c:valAx>
        <c:axId val="61000004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m/d/yyyy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861666"/>
        <c:crosses val="autoZero"/>
        <c:crossBetween val="midCat"/>
      </c:valAx>
      <c:valAx>
        <c:axId val="486166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100000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586800</xdr:colOff>
      <xdr:row>1</xdr:row>
      <xdr:rowOff>30600</xdr:rowOff>
    </xdr:from>
    <xdr:to>
      <xdr:col>12</xdr:col>
      <xdr:colOff>212400</xdr:colOff>
      <xdr:row>16</xdr:row>
      <xdr:rowOff>29520</xdr:rowOff>
    </xdr:to>
    <xdr:graphicFrame>
      <xdr:nvGraphicFramePr>
        <xdr:cNvPr id="0" name="Gráfico 1"/>
        <xdr:cNvGraphicFramePr/>
      </xdr:nvGraphicFramePr>
      <xdr:xfrm>
        <a:off x="4107240" y="221040"/>
        <a:ext cx="8769600" cy="2856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A1" activeCellId="1" sqref="A2:C2 AA1"/>
    </sheetView>
  </sheetViews>
  <sheetFormatPr defaultColWidth="8.72265625" defaultRowHeight="15" zeroHeight="false" outlineLevelRow="0" outlineLevelCol="0"/>
  <cols>
    <col collapsed="false" customWidth="true" hidden="false" outlineLevel="0" max="1" min="1" style="1" width="2.14"/>
    <col collapsed="false" customWidth="true" hidden="false" outlineLevel="0" max="2" min="2" style="1" width="3"/>
    <col collapsed="false" customWidth="true" hidden="false" outlineLevel="0" max="3" min="3" style="1" width="2.14"/>
    <col collapsed="false" customWidth="true" hidden="false" outlineLevel="0" max="4" min="4" style="1" width="8"/>
    <col collapsed="false" customWidth="true" hidden="false" outlineLevel="0" max="5" min="5" style="1" width="9.43"/>
    <col collapsed="false" customWidth="true" hidden="false" outlineLevel="0" max="7" min="6" style="1" width="6.57"/>
    <col collapsed="false" customWidth="true" hidden="false" outlineLevel="0" max="11" min="8" style="1" width="7.15"/>
    <col collapsed="false" customWidth="true" hidden="false" outlineLevel="0" max="12" min="12" style="1" width="12.86"/>
    <col collapsed="false" customWidth="true" hidden="false" outlineLevel="0" max="13" min="13" style="2" width="4.29"/>
    <col collapsed="false" customWidth="true" hidden="false" outlineLevel="0" max="14" min="14" style="1" width="2.14"/>
    <col collapsed="false" customWidth="true" hidden="false" outlineLevel="0" max="15" min="15" style="1" width="3.15"/>
    <col collapsed="false" customWidth="true" hidden="false" outlineLevel="0" max="16" min="16" style="1" width="2.14"/>
    <col collapsed="false" customWidth="true" hidden="false" outlineLevel="0" max="17" min="17" style="1" width="8"/>
    <col collapsed="false" customWidth="true" hidden="false" outlineLevel="0" max="20" min="18" style="1" width="5.71"/>
    <col collapsed="false" customWidth="false" hidden="false" outlineLevel="0" max="24" min="21" style="1" width="8.72"/>
    <col collapsed="false" customWidth="true" hidden="false" outlineLevel="0" max="25" min="25" style="1" width="12.86"/>
    <col collapsed="false" customWidth="true" hidden="false" outlineLevel="0" max="26" min="26" style="2" width="4.29"/>
    <col collapsed="false" customWidth="true" hidden="false" outlineLevel="0" max="27" min="27" style="1" width="2.14"/>
    <col collapsed="false" customWidth="true" hidden="false" outlineLevel="0" max="28" min="28" style="1" width="3.15"/>
    <col collapsed="false" customWidth="true" hidden="false" outlineLevel="0" max="29" min="29" style="1" width="2.14"/>
    <col collapsed="false" customWidth="false" hidden="false" outlineLevel="0" max="31" min="30" style="1" width="8.72"/>
    <col collapsed="false" customWidth="true" hidden="false" outlineLevel="0" max="33" min="32" style="1" width="5.86"/>
    <col collapsed="false" customWidth="true" hidden="false" outlineLevel="0" max="37" min="34" style="1" width="7.57"/>
    <col collapsed="false" customWidth="true" hidden="false" outlineLevel="0" max="38" min="38" style="1" width="12.86"/>
    <col collapsed="false" customWidth="false" hidden="false" outlineLevel="0" max="16384" min="39" style="1" width="8.72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n">
        <v>1</v>
      </c>
      <c r="I1" s="6" t="n">
        <v>0.75</v>
      </c>
      <c r="J1" s="6" t="n">
        <v>0.5</v>
      </c>
      <c r="K1" s="6" t="n">
        <v>0.25</v>
      </c>
      <c r="L1" s="7" t="n">
        <v>0</v>
      </c>
      <c r="M1" s="8" t="s">
        <v>7</v>
      </c>
      <c r="N1" s="3" t="s">
        <v>0</v>
      </c>
      <c r="O1" s="3" t="s">
        <v>1</v>
      </c>
      <c r="P1" s="3" t="s">
        <v>2</v>
      </c>
      <c r="Q1" s="4" t="s">
        <v>3</v>
      </c>
      <c r="R1" s="5" t="s">
        <v>4</v>
      </c>
      <c r="S1" s="5" t="s">
        <v>5</v>
      </c>
      <c r="T1" s="5" t="s">
        <v>6</v>
      </c>
      <c r="U1" s="6" t="n">
        <v>1</v>
      </c>
      <c r="V1" s="6" t="n">
        <v>0.75</v>
      </c>
      <c r="W1" s="6" t="n">
        <v>0.5</v>
      </c>
      <c r="X1" s="6" t="n">
        <v>0.25</v>
      </c>
      <c r="Y1" s="7" t="n">
        <v>0</v>
      </c>
      <c r="Z1" s="8" t="s">
        <v>7</v>
      </c>
      <c r="AA1" s="3" t="s">
        <v>0</v>
      </c>
      <c r="AB1" s="3" t="s">
        <v>1</v>
      </c>
      <c r="AC1" s="3" t="s">
        <v>2</v>
      </c>
      <c r="AD1" s="4" t="s">
        <v>3</v>
      </c>
      <c r="AE1" s="5" t="s">
        <v>4</v>
      </c>
      <c r="AF1" s="5" t="s">
        <v>5</v>
      </c>
      <c r="AG1" s="5" t="s">
        <v>6</v>
      </c>
      <c r="AH1" s="6" t="n">
        <v>1</v>
      </c>
      <c r="AI1" s="6" t="n">
        <v>0.75</v>
      </c>
      <c r="AJ1" s="6" t="n">
        <v>0.5</v>
      </c>
      <c r="AK1" s="6" t="n">
        <v>0.25</v>
      </c>
      <c r="AL1" s="7" t="n">
        <v>0</v>
      </c>
      <c r="AM1" s="8" t="s">
        <v>7</v>
      </c>
    </row>
    <row r="2" customFormat="false" ht="15" hidden="false" customHeight="false" outlineLevel="0" collapsed="false">
      <c r="A2" s="9" t="s">
        <v>8</v>
      </c>
      <c r="B2" s="10" t="n">
        <v>1</v>
      </c>
      <c r="C2" s="11" t="s">
        <v>9</v>
      </c>
      <c r="D2" s="12" t="n">
        <v>16.3</v>
      </c>
      <c r="E2" s="10" t="n">
        <v>1.05</v>
      </c>
      <c r="F2" s="10"/>
      <c r="G2" s="10" t="n">
        <v>0</v>
      </c>
      <c r="H2" s="10" t="n">
        <v>1</v>
      </c>
      <c r="I2" s="10"/>
      <c r="J2" s="10"/>
      <c r="K2" s="10"/>
      <c r="L2" s="11"/>
      <c r="M2" s="13" t="n">
        <f aca="false">SUM(I2:L2)</f>
        <v>0</v>
      </c>
      <c r="N2" s="9" t="s">
        <v>10</v>
      </c>
      <c r="O2" s="10" t="n">
        <v>1</v>
      </c>
      <c r="P2" s="11" t="s">
        <v>9</v>
      </c>
      <c r="Q2" s="12" t="n">
        <v>17.9</v>
      </c>
      <c r="R2" s="10" t="n">
        <v>1.27</v>
      </c>
      <c r="S2" s="10"/>
      <c r="T2" s="10" t="n">
        <v>0</v>
      </c>
      <c r="U2" s="10" t="n">
        <v>1</v>
      </c>
      <c r="V2" s="10"/>
      <c r="W2" s="10"/>
      <c r="X2" s="10"/>
      <c r="Y2" s="11"/>
      <c r="Z2" s="13" t="n">
        <f aca="false">SUM(V2:Y2)</f>
        <v>0</v>
      </c>
      <c r="AA2" s="14" t="s">
        <v>11</v>
      </c>
      <c r="AB2" s="15" t="n">
        <v>1</v>
      </c>
      <c r="AC2" s="16" t="s">
        <v>9</v>
      </c>
      <c r="AD2" s="17" t="n">
        <v>16.2</v>
      </c>
      <c r="AE2" s="18" t="n">
        <v>1.25</v>
      </c>
      <c r="AF2" s="15"/>
      <c r="AG2" s="15" t="n">
        <v>0</v>
      </c>
      <c r="AH2" s="15" t="n">
        <v>1</v>
      </c>
      <c r="AI2" s="15"/>
      <c r="AJ2" s="15"/>
      <c r="AK2" s="15"/>
      <c r="AL2" s="16"/>
      <c r="AM2" s="13" t="n">
        <f aca="false">SUM(AI2:AL2)</f>
        <v>0</v>
      </c>
    </row>
    <row r="3" customFormat="false" ht="15" hidden="false" customHeight="false" outlineLevel="0" collapsed="false">
      <c r="A3" s="19" t="s">
        <v>8</v>
      </c>
      <c r="B3" s="20" t="n">
        <v>1</v>
      </c>
      <c r="C3" s="21" t="s">
        <v>12</v>
      </c>
      <c r="D3" s="22" t="n">
        <v>17.1</v>
      </c>
      <c r="E3" s="20" t="n">
        <v>1.15</v>
      </c>
      <c r="F3" s="20"/>
      <c r="G3" s="20" t="n">
        <v>0</v>
      </c>
      <c r="H3" s="20" t="n">
        <v>1</v>
      </c>
      <c r="I3" s="20"/>
      <c r="J3" s="20"/>
      <c r="K3" s="20"/>
      <c r="L3" s="21"/>
      <c r="M3" s="13" t="n">
        <f aca="false">SUM(I3:L3)</f>
        <v>0</v>
      </c>
      <c r="N3" s="9" t="s">
        <v>10</v>
      </c>
      <c r="O3" s="20" t="n">
        <v>1</v>
      </c>
      <c r="P3" s="21" t="s">
        <v>12</v>
      </c>
      <c r="Q3" s="23" t="n">
        <v>18.1</v>
      </c>
      <c r="R3" s="24" t="n">
        <v>1.51</v>
      </c>
      <c r="S3" s="20"/>
      <c r="T3" s="20" t="n">
        <v>0</v>
      </c>
      <c r="U3" s="20" t="n">
        <v>1</v>
      </c>
      <c r="V3" s="20"/>
      <c r="W3" s="20"/>
      <c r="X3" s="20"/>
      <c r="Y3" s="21"/>
      <c r="Z3" s="13" t="n">
        <f aca="false">SUM(V3:Y3)</f>
        <v>0</v>
      </c>
      <c r="AA3" s="19" t="s">
        <v>11</v>
      </c>
      <c r="AB3" s="20" t="n">
        <v>1</v>
      </c>
      <c r="AC3" s="21" t="s">
        <v>12</v>
      </c>
      <c r="AD3" s="22" t="n">
        <v>19.6</v>
      </c>
      <c r="AE3" s="20" t="n">
        <v>1.7</v>
      </c>
      <c r="AF3" s="20" t="s">
        <v>13</v>
      </c>
      <c r="AG3" s="20" t="n">
        <v>0</v>
      </c>
      <c r="AH3" s="20" t="n">
        <v>1</v>
      </c>
      <c r="AI3" s="20"/>
      <c r="AJ3" s="20"/>
      <c r="AK3" s="20"/>
      <c r="AL3" s="21"/>
      <c r="AM3" s="13" t="n">
        <f aca="false">SUM(AI3:AL3)</f>
        <v>0</v>
      </c>
    </row>
    <row r="4" customFormat="false" ht="15" hidden="false" customHeight="false" outlineLevel="0" collapsed="false">
      <c r="A4" s="19" t="s">
        <v>8</v>
      </c>
      <c r="B4" s="20" t="n">
        <v>1</v>
      </c>
      <c r="C4" s="21" t="s">
        <v>14</v>
      </c>
      <c r="D4" s="22" t="n">
        <v>18</v>
      </c>
      <c r="E4" s="25" t="n">
        <v>45292</v>
      </c>
      <c r="F4" s="20" t="s">
        <v>15</v>
      </c>
      <c r="G4" s="20" t="n">
        <v>0</v>
      </c>
      <c r="H4" s="20" t="n">
        <v>1</v>
      </c>
      <c r="I4" s="20"/>
      <c r="J4" s="20"/>
      <c r="K4" s="20"/>
      <c r="L4" s="21"/>
      <c r="M4" s="13" t="n">
        <f aca="false">SUM(I4:L4)</f>
        <v>0</v>
      </c>
      <c r="N4" s="9" t="s">
        <v>10</v>
      </c>
      <c r="O4" s="20" t="n">
        <v>1</v>
      </c>
      <c r="P4" s="21" t="s">
        <v>14</v>
      </c>
      <c r="Q4" s="22" t="n">
        <v>16.6</v>
      </c>
      <c r="R4" s="20" t="n">
        <v>1.42</v>
      </c>
      <c r="S4" s="20"/>
      <c r="T4" s="20" t="n">
        <v>1</v>
      </c>
      <c r="U4" s="20" t="n">
        <v>0</v>
      </c>
      <c r="V4" s="20"/>
      <c r="W4" s="20"/>
      <c r="X4" s="20"/>
      <c r="Y4" s="21"/>
      <c r="Z4" s="13" t="n">
        <f aca="false">SUM(V4:Y4)</f>
        <v>0</v>
      </c>
      <c r="AA4" s="19" t="s">
        <v>11</v>
      </c>
      <c r="AB4" s="20" t="n">
        <v>1</v>
      </c>
      <c r="AC4" s="21" t="s">
        <v>14</v>
      </c>
      <c r="AD4" s="22" t="n">
        <v>16.7</v>
      </c>
      <c r="AE4" s="20" t="n">
        <v>1.22</v>
      </c>
      <c r="AF4" s="20"/>
      <c r="AG4" s="20" t="n">
        <v>1</v>
      </c>
      <c r="AH4" s="20" t="n">
        <v>0</v>
      </c>
      <c r="AI4" s="20"/>
      <c r="AJ4" s="20"/>
      <c r="AK4" s="20"/>
      <c r="AL4" s="21"/>
      <c r="AM4" s="13" t="n">
        <f aca="false">SUM(AI4:AL4)</f>
        <v>0</v>
      </c>
    </row>
    <row r="5" customFormat="false" ht="15" hidden="false" customHeight="false" outlineLevel="0" collapsed="false">
      <c r="A5" s="19" t="s">
        <v>8</v>
      </c>
      <c r="B5" s="20" t="n">
        <v>1</v>
      </c>
      <c r="C5" s="21" t="s">
        <v>16</v>
      </c>
      <c r="D5" s="22" t="n">
        <v>17.5</v>
      </c>
      <c r="E5" s="20" t="n">
        <v>1.23</v>
      </c>
      <c r="F5" s="20"/>
      <c r="G5" s="20" t="n">
        <v>1</v>
      </c>
      <c r="H5" s="20" t="n">
        <v>0</v>
      </c>
      <c r="I5" s="20"/>
      <c r="J5" s="20"/>
      <c r="K5" s="20"/>
      <c r="L5" s="21"/>
      <c r="M5" s="13" t="n">
        <f aca="false">SUM(I5:L5)</f>
        <v>0</v>
      </c>
      <c r="N5" s="9" t="s">
        <v>10</v>
      </c>
      <c r="O5" s="20" t="n">
        <v>1</v>
      </c>
      <c r="P5" s="21" t="s">
        <v>16</v>
      </c>
      <c r="Q5" s="22" t="n">
        <v>17</v>
      </c>
      <c r="R5" s="20" t="n">
        <v>1.15</v>
      </c>
      <c r="S5" s="20" t="s">
        <v>13</v>
      </c>
      <c r="T5" s="20" t="n">
        <v>0</v>
      </c>
      <c r="U5" s="20" t="n">
        <v>1</v>
      </c>
      <c r="V5" s="20"/>
      <c r="W5" s="20"/>
      <c r="X5" s="20"/>
      <c r="Y5" s="21"/>
      <c r="Z5" s="13" t="n">
        <f aca="false">SUM(V5:Y5)</f>
        <v>0</v>
      </c>
      <c r="AA5" s="19" t="s">
        <v>11</v>
      </c>
      <c r="AB5" s="20" t="n">
        <v>1</v>
      </c>
      <c r="AC5" s="21" t="s">
        <v>16</v>
      </c>
      <c r="AD5" s="22" t="n">
        <v>16.5</v>
      </c>
      <c r="AE5" s="22" t="n">
        <v>1.13</v>
      </c>
      <c r="AF5" s="22"/>
      <c r="AG5" s="20" t="n">
        <v>1</v>
      </c>
      <c r="AH5" s="20" t="n">
        <v>0</v>
      </c>
      <c r="AI5" s="20"/>
      <c r="AJ5" s="20"/>
      <c r="AK5" s="20"/>
      <c r="AL5" s="21"/>
      <c r="AM5" s="13" t="n">
        <f aca="false">SUM(AI5:AL5)</f>
        <v>0</v>
      </c>
    </row>
    <row r="6" customFormat="false" ht="15" hidden="false" customHeight="false" outlineLevel="0" collapsed="false">
      <c r="A6" s="19" t="s">
        <v>8</v>
      </c>
      <c r="B6" s="20" t="n">
        <v>1</v>
      </c>
      <c r="C6" s="21" t="s">
        <v>9</v>
      </c>
      <c r="D6" s="22" t="n">
        <v>18.2</v>
      </c>
      <c r="E6" s="20" t="n">
        <v>1.45</v>
      </c>
      <c r="F6" s="20"/>
      <c r="G6" s="20" t="n">
        <v>0</v>
      </c>
      <c r="H6" s="20" t="n">
        <v>1</v>
      </c>
      <c r="I6" s="20"/>
      <c r="J6" s="20"/>
      <c r="K6" s="20"/>
      <c r="L6" s="21"/>
      <c r="M6" s="13" t="n">
        <f aca="false">SUM(I6:L6)</f>
        <v>0</v>
      </c>
      <c r="N6" s="9" t="s">
        <v>10</v>
      </c>
      <c r="O6" s="20" t="n">
        <v>1</v>
      </c>
      <c r="P6" s="21" t="s">
        <v>9</v>
      </c>
      <c r="Q6" s="22" t="n">
        <v>18</v>
      </c>
      <c r="R6" s="20" t="n">
        <v>1.54</v>
      </c>
      <c r="S6" s="20"/>
      <c r="T6" s="20" t="n">
        <v>0</v>
      </c>
      <c r="U6" s="20" t="n">
        <v>1</v>
      </c>
      <c r="V6" s="20"/>
      <c r="W6" s="20"/>
      <c r="X6" s="20"/>
      <c r="Y6" s="21"/>
      <c r="Z6" s="13" t="n">
        <f aca="false">SUM(V6:Y6)</f>
        <v>0</v>
      </c>
      <c r="AA6" s="19" t="s">
        <v>11</v>
      </c>
      <c r="AB6" s="20" t="n">
        <v>1</v>
      </c>
      <c r="AC6" s="21" t="s">
        <v>9</v>
      </c>
      <c r="AD6" s="22" t="n">
        <v>17</v>
      </c>
      <c r="AE6" s="20" t="n">
        <v>1.33</v>
      </c>
      <c r="AF6" s="20"/>
      <c r="AG6" s="20" t="n">
        <v>0</v>
      </c>
      <c r="AH6" s="20" t="n">
        <v>1</v>
      </c>
      <c r="AI6" s="20"/>
      <c r="AJ6" s="20"/>
      <c r="AK6" s="20"/>
      <c r="AL6" s="21"/>
      <c r="AM6" s="13" t="n">
        <f aca="false">SUM(AI6:AL6)</f>
        <v>0</v>
      </c>
    </row>
    <row r="7" customFormat="false" ht="15" hidden="false" customHeight="false" outlineLevel="0" collapsed="false">
      <c r="A7" s="19" t="s">
        <v>8</v>
      </c>
      <c r="B7" s="20" t="n">
        <v>1</v>
      </c>
      <c r="C7" s="21" t="s">
        <v>12</v>
      </c>
      <c r="D7" s="22" t="n">
        <v>19.8</v>
      </c>
      <c r="E7" s="20" t="n">
        <v>1.63</v>
      </c>
      <c r="F7" s="20"/>
      <c r="G7" s="20" t="n">
        <v>0</v>
      </c>
      <c r="H7" s="20" t="n">
        <v>1</v>
      </c>
      <c r="I7" s="20"/>
      <c r="J7" s="20"/>
      <c r="K7" s="20"/>
      <c r="L7" s="21"/>
      <c r="M7" s="13" t="n">
        <f aca="false">SUM(I7:L7)</f>
        <v>0</v>
      </c>
      <c r="N7" s="9" t="s">
        <v>10</v>
      </c>
      <c r="O7" s="20" t="n">
        <v>1</v>
      </c>
      <c r="P7" s="21" t="s">
        <v>12</v>
      </c>
      <c r="Q7" s="22" t="n">
        <v>17.9</v>
      </c>
      <c r="R7" s="20" t="n">
        <v>1.44</v>
      </c>
      <c r="S7" s="20"/>
      <c r="T7" s="20" t="n">
        <v>0</v>
      </c>
      <c r="U7" s="20" t="n">
        <v>1</v>
      </c>
      <c r="V7" s="20"/>
      <c r="W7" s="20"/>
      <c r="X7" s="20"/>
      <c r="Y7" s="21"/>
      <c r="Z7" s="13" t="n">
        <f aca="false">SUM(V7:Y7)</f>
        <v>0</v>
      </c>
      <c r="AA7" s="19" t="s">
        <v>11</v>
      </c>
      <c r="AB7" s="20" t="n">
        <v>1</v>
      </c>
      <c r="AC7" s="21" t="s">
        <v>12</v>
      </c>
      <c r="AD7" s="22" t="n">
        <v>16</v>
      </c>
      <c r="AE7" s="20" t="n">
        <v>1.02</v>
      </c>
      <c r="AF7" s="20"/>
      <c r="AG7" s="20" t="n">
        <v>0</v>
      </c>
      <c r="AH7" s="20" t="n">
        <v>1</v>
      </c>
      <c r="AI7" s="20"/>
      <c r="AJ7" s="20"/>
      <c r="AK7" s="20"/>
      <c r="AL7" s="21"/>
      <c r="AM7" s="13" t="n">
        <f aca="false">SUM(AI7:AL7)</f>
        <v>0</v>
      </c>
    </row>
    <row r="8" customFormat="false" ht="15" hidden="false" customHeight="false" outlineLevel="0" collapsed="false">
      <c r="A8" s="19" t="s">
        <v>8</v>
      </c>
      <c r="B8" s="20" t="n">
        <v>1</v>
      </c>
      <c r="C8" s="21" t="s">
        <v>14</v>
      </c>
      <c r="D8" s="22" t="n">
        <v>20.2</v>
      </c>
      <c r="E8" s="20" t="n">
        <v>1.64</v>
      </c>
      <c r="F8" s="20"/>
      <c r="G8" s="20" t="n">
        <v>0</v>
      </c>
      <c r="H8" s="20" t="n">
        <v>1</v>
      </c>
      <c r="I8" s="20"/>
      <c r="J8" s="20"/>
      <c r="K8" s="20"/>
      <c r="L8" s="21"/>
      <c r="M8" s="13" t="n">
        <f aca="false">SUM(I8:L8)</f>
        <v>0</v>
      </c>
      <c r="N8" s="9" t="s">
        <v>10</v>
      </c>
      <c r="O8" s="20" t="n">
        <v>1</v>
      </c>
      <c r="P8" s="21" t="s">
        <v>14</v>
      </c>
      <c r="Q8" s="22" t="n">
        <v>19.7</v>
      </c>
      <c r="R8" s="20" t="n">
        <v>1.61</v>
      </c>
      <c r="S8" s="20"/>
      <c r="T8" s="20" t="n">
        <v>0</v>
      </c>
      <c r="U8" s="20" t="n">
        <v>1</v>
      </c>
      <c r="V8" s="20"/>
      <c r="W8" s="20"/>
      <c r="X8" s="20"/>
      <c r="Y8" s="21"/>
      <c r="Z8" s="13" t="n">
        <f aca="false">SUM(V8:Y8)</f>
        <v>0</v>
      </c>
      <c r="AA8" s="19" t="s">
        <v>11</v>
      </c>
      <c r="AB8" s="20" t="n">
        <v>1</v>
      </c>
      <c r="AC8" s="21" t="s">
        <v>14</v>
      </c>
      <c r="AD8" s="22" t="n">
        <v>17</v>
      </c>
      <c r="AE8" s="20" t="n">
        <v>1.18</v>
      </c>
      <c r="AF8" s="20"/>
      <c r="AG8" s="20" t="n">
        <v>0</v>
      </c>
      <c r="AH8" s="20" t="n">
        <v>1</v>
      </c>
      <c r="AI8" s="20"/>
      <c r="AJ8" s="20"/>
      <c r="AK8" s="20"/>
      <c r="AL8" s="21"/>
      <c r="AM8" s="13" t="n">
        <f aca="false">SUM(AI8:AL8)</f>
        <v>0</v>
      </c>
    </row>
    <row r="9" customFormat="false" ht="15" hidden="false" customHeight="false" outlineLevel="0" collapsed="false">
      <c r="A9" s="19" t="s">
        <v>8</v>
      </c>
      <c r="B9" s="20" t="n">
        <v>1</v>
      </c>
      <c r="C9" s="21" t="s">
        <v>16</v>
      </c>
      <c r="D9" s="22" t="n">
        <v>18</v>
      </c>
      <c r="E9" s="20" t="n">
        <v>1.44</v>
      </c>
      <c r="F9" s="20"/>
      <c r="G9" s="20" t="n">
        <v>0</v>
      </c>
      <c r="H9" s="20" t="n">
        <v>1</v>
      </c>
      <c r="I9" s="20"/>
      <c r="J9" s="20"/>
      <c r="K9" s="20"/>
      <c r="L9" s="21"/>
      <c r="M9" s="13" t="n">
        <f aca="false">SUM(I9:L9)</f>
        <v>0</v>
      </c>
      <c r="N9" s="9" t="s">
        <v>10</v>
      </c>
      <c r="O9" s="20" t="n">
        <v>1</v>
      </c>
      <c r="P9" s="21" t="s">
        <v>16</v>
      </c>
      <c r="Q9" s="22" t="n">
        <v>17.2</v>
      </c>
      <c r="R9" s="20" t="n">
        <v>1.28</v>
      </c>
      <c r="S9" s="20"/>
      <c r="T9" s="20" t="n">
        <v>1</v>
      </c>
      <c r="U9" s="20" t="n">
        <v>0</v>
      </c>
      <c r="V9" s="20"/>
      <c r="W9" s="20"/>
      <c r="X9" s="20"/>
      <c r="Y9" s="21"/>
      <c r="Z9" s="13" t="n">
        <f aca="false">SUM(V9:Y9)</f>
        <v>0</v>
      </c>
      <c r="AA9" s="19" t="s">
        <v>11</v>
      </c>
      <c r="AB9" s="20" t="n">
        <v>1</v>
      </c>
      <c r="AC9" s="21" t="s">
        <v>16</v>
      </c>
      <c r="AD9" s="22" t="n">
        <v>17.6</v>
      </c>
      <c r="AE9" s="20" t="n">
        <v>1.39</v>
      </c>
      <c r="AF9" s="20" t="s">
        <v>15</v>
      </c>
      <c r="AG9" s="20" t="n">
        <v>0</v>
      </c>
      <c r="AH9" s="20" t="n">
        <v>1</v>
      </c>
      <c r="AI9" s="20"/>
      <c r="AJ9" s="20"/>
      <c r="AK9" s="20"/>
      <c r="AL9" s="21"/>
      <c r="AM9" s="13" t="n">
        <f aca="false">SUM(AI9:AL9)</f>
        <v>0</v>
      </c>
    </row>
    <row r="10" customFormat="false" ht="15" hidden="false" customHeight="false" outlineLevel="0" collapsed="false">
      <c r="A10" s="19" t="s">
        <v>8</v>
      </c>
      <c r="B10" s="20" t="n">
        <v>1</v>
      </c>
      <c r="C10" s="21" t="s">
        <v>9</v>
      </c>
      <c r="D10" s="22" t="n">
        <v>17.5</v>
      </c>
      <c r="E10" s="20" t="n">
        <v>1.44</v>
      </c>
      <c r="F10" s="20"/>
      <c r="G10" s="20" t="n">
        <v>0</v>
      </c>
      <c r="H10" s="20" t="n">
        <v>1</v>
      </c>
      <c r="I10" s="20"/>
      <c r="J10" s="20"/>
      <c r="K10" s="20"/>
      <c r="L10" s="21"/>
      <c r="M10" s="13" t="n">
        <f aca="false">SUM(I10:L10)</f>
        <v>0</v>
      </c>
      <c r="N10" s="9" t="s">
        <v>10</v>
      </c>
      <c r="O10" s="20" t="n">
        <v>1</v>
      </c>
      <c r="P10" s="21" t="s">
        <v>9</v>
      </c>
      <c r="Q10" s="22" t="n">
        <v>16</v>
      </c>
      <c r="R10" s="20" t="n">
        <v>0.95</v>
      </c>
      <c r="S10" s="20"/>
      <c r="T10" s="20" t="n">
        <v>0</v>
      </c>
      <c r="U10" s="20" t="n">
        <v>1</v>
      </c>
      <c r="V10" s="20"/>
      <c r="W10" s="20"/>
      <c r="X10" s="20"/>
      <c r="Y10" s="21"/>
      <c r="Z10" s="13" t="n">
        <f aca="false">SUM(V10:Y10)</f>
        <v>0</v>
      </c>
      <c r="AA10" s="19" t="s">
        <v>11</v>
      </c>
      <c r="AB10" s="20" t="n">
        <v>1</v>
      </c>
      <c r="AC10" s="21" t="s">
        <v>9</v>
      </c>
      <c r="AD10" s="22" t="n">
        <v>18.2</v>
      </c>
      <c r="AE10" s="20" t="n">
        <v>1.55</v>
      </c>
      <c r="AF10" s="20" t="s">
        <v>15</v>
      </c>
      <c r="AG10" s="20" t="n">
        <v>0</v>
      </c>
      <c r="AH10" s="20" t="n">
        <v>1</v>
      </c>
      <c r="AI10" s="20"/>
      <c r="AJ10" s="20"/>
      <c r="AK10" s="20"/>
      <c r="AL10" s="21"/>
      <c r="AM10" s="13" t="n">
        <f aca="false">SUM(AI10:AL10)</f>
        <v>0</v>
      </c>
    </row>
    <row r="11" customFormat="false" ht="15" hidden="false" customHeight="false" outlineLevel="0" collapsed="false">
      <c r="A11" s="19" t="s">
        <v>8</v>
      </c>
      <c r="B11" s="20" t="n">
        <v>1</v>
      </c>
      <c r="C11" s="21" t="s">
        <v>12</v>
      </c>
      <c r="D11" s="22" t="n">
        <v>18</v>
      </c>
      <c r="E11" s="20" t="n">
        <v>1.44</v>
      </c>
      <c r="F11" s="20"/>
      <c r="G11" s="20" t="n">
        <v>0</v>
      </c>
      <c r="H11" s="20" t="n">
        <v>1</v>
      </c>
      <c r="I11" s="20"/>
      <c r="J11" s="20"/>
      <c r="K11" s="20"/>
      <c r="L11" s="21"/>
      <c r="M11" s="13" t="n">
        <f aca="false">SUM(I11:L11)</f>
        <v>0</v>
      </c>
      <c r="N11" s="9" t="s">
        <v>10</v>
      </c>
      <c r="O11" s="20" t="n">
        <v>1</v>
      </c>
      <c r="P11" s="21" t="s">
        <v>12</v>
      </c>
      <c r="Q11" s="22" t="n">
        <v>20.5</v>
      </c>
      <c r="R11" s="20" t="n">
        <v>1.71</v>
      </c>
      <c r="S11" s="20" t="s">
        <v>15</v>
      </c>
      <c r="T11" s="20" t="n">
        <v>0</v>
      </c>
      <c r="U11" s="20" t="n">
        <v>1</v>
      </c>
      <c r="V11" s="20"/>
      <c r="W11" s="20"/>
      <c r="X11" s="20"/>
      <c r="Y11" s="21"/>
      <c r="Z11" s="13" t="n">
        <f aca="false">SUM(V11:Y11)</f>
        <v>0</v>
      </c>
      <c r="AA11" s="19" t="s">
        <v>11</v>
      </c>
      <c r="AB11" s="20" t="n">
        <v>1</v>
      </c>
      <c r="AC11" s="21" t="s">
        <v>12</v>
      </c>
      <c r="AD11" s="22" t="n">
        <v>18.5</v>
      </c>
      <c r="AE11" s="20" t="n">
        <v>1.64</v>
      </c>
      <c r="AF11" s="20"/>
      <c r="AG11" s="20" t="n">
        <v>1</v>
      </c>
      <c r="AH11" s="20" t="n">
        <v>0</v>
      </c>
      <c r="AI11" s="20"/>
      <c r="AJ11" s="20"/>
      <c r="AK11" s="20"/>
      <c r="AL11" s="21"/>
      <c r="AM11" s="13" t="n">
        <f aca="false">SUM(AI11:AL11)</f>
        <v>0</v>
      </c>
    </row>
    <row r="12" customFormat="false" ht="15" hidden="false" customHeight="false" outlineLevel="0" collapsed="false">
      <c r="A12" s="19" t="s">
        <v>8</v>
      </c>
      <c r="B12" s="20" t="n">
        <v>1</v>
      </c>
      <c r="C12" s="21" t="s">
        <v>14</v>
      </c>
      <c r="D12" s="22" t="n">
        <v>16</v>
      </c>
      <c r="E12" s="20" t="n">
        <v>1.04</v>
      </c>
      <c r="F12" s="20"/>
      <c r="G12" s="20" t="n">
        <v>0</v>
      </c>
      <c r="H12" s="20" t="n">
        <v>1</v>
      </c>
      <c r="I12" s="20"/>
      <c r="J12" s="20"/>
      <c r="K12" s="20"/>
      <c r="L12" s="21"/>
      <c r="M12" s="13" t="n">
        <f aca="false">SUM(I12:L12)</f>
        <v>0</v>
      </c>
      <c r="N12" s="9" t="s">
        <v>10</v>
      </c>
      <c r="O12" s="20" t="n">
        <v>1</v>
      </c>
      <c r="P12" s="21" t="s">
        <v>14</v>
      </c>
      <c r="Q12" s="22" t="n">
        <v>20.5</v>
      </c>
      <c r="R12" s="20" t="n">
        <v>1.74</v>
      </c>
      <c r="S12" s="20"/>
      <c r="T12" s="20" t="n">
        <v>0</v>
      </c>
      <c r="U12" s="20" t="n">
        <v>1</v>
      </c>
      <c r="V12" s="20"/>
      <c r="W12" s="20"/>
      <c r="X12" s="20"/>
      <c r="Y12" s="21"/>
      <c r="Z12" s="13" t="n">
        <f aca="false">SUM(V12:Y12)</f>
        <v>0</v>
      </c>
      <c r="AA12" s="19" t="s">
        <v>11</v>
      </c>
      <c r="AB12" s="20" t="n">
        <v>1</v>
      </c>
      <c r="AC12" s="21" t="s">
        <v>14</v>
      </c>
      <c r="AD12" s="22" t="n">
        <v>16.4</v>
      </c>
      <c r="AE12" s="20" t="n">
        <v>0.99</v>
      </c>
      <c r="AF12" s="20" t="s">
        <v>17</v>
      </c>
      <c r="AG12" s="20" t="n">
        <v>1</v>
      </c>
      <c r="AH12" s="20" t="n">
        <v>0</v>
      </c>
      <c r="AI12" s="20"/>
      <c r="AJ12" s="20"/>
      <c r="AK12" s="20"/>
      <c r="AL12" s="21"/>
      <c r="AM12" s="13" t="n">
        <f aca="false">SUM(AI12:AL12)</f>
        <v>0</v>
      </c>
    </row>
    <row r="13" customFormat="false" ht="15" hidden="false" customHeight="false" outlineLevel="0" collapsed="false">
      <c r="A13" s="26" t="s">
        <v>8</v>
      </c>
      <c r="B13" s="27" t="n">
        <v>1</v>
      </c>
      <c r="C13" s="28" t="s">
        <v>16</v>
      </c>
      <c r="D13" s="29" t="n">
        <v>16.4</v>
      </c>
      <c r="E13" s="27" t="n">
        <v>1.04</v>
      </c>
      <c r="F13" s="27"/>
      <c r="G13" s="27" t="n">
        <v>0</v>
      </c>
      <c r="H13" s="27" t="n">
        <v>1</v>
      </c>
      <c r="I13" s="27"/>
      <c r="J13" s="27"/>
      <c r="K13" s="27"/>
      <c r="L13" s="28"/>
      <c r="M13" s="13" t="n">
        <f aca="false">SUM(I13:L13)</f>
        <v>0</v>
      </c>
      <c r="N13" s="30" t="s">
        <v>10</v>
      </c>
      <c r="O13" s="31" t="n">
        <v>1</v>
      </c>
      <c r="P13" s="32" t="s">
        <v>16</v>
      </c>
      <c r="Q13" s="33" t="n">
        <v>18.5</v>
      </c>
      <c r="R13" s="31" t="n">
        <v>1.6</v>
      </c>
      <c r="S13" s="31"/>
      <c r="T13" s="31" t="n">
        <v>1</v>
      </c>
      <c r="U13" s="31" t="n">
        <v>0</v>
      </c>
      <c r="V13" s="31"/>
      <c r="W13" s="31"/>
      <c r="X13" s="31"/>
      <c r="Y13" s="32"/>
      <c r="Z13" s="13" t="n">
        <f aca="false">SUM(V13:Y13)</f>
        <v>0</v>
      </c>
      <c r="AA13" s="26" t="s">
        <v>11</v>
      </c>
      <c r="AB13" s="27" t="n">
        <v>1</v>
      </c>
      <c r="AC13" s="28" t="s">
        <v>16</v>
      </c>
      <c r="AD13" s="29" t="n">
        <v>17</v>
      </c>
      <c r="AE13" s="27" t="n">
        <v>1.35</v>
      </c>
      <c r="AF13" s="27"/>
      <c r="AG13" s="27" t="n">
        <v>1</v>
      </c>
      <c r="AH13" s="27" t="n">
        <v>0</v>
      </c>
      <c r="AI13" s="27"/>
      <c r="AJ13" s="27"/>
      <c r="AK13" s="27"/>
      <c r="AL13" s="28"/>
      <c r="AM13" s="13" t="n">
        <f aca="false">SUM(AI13:AL13)</f>
        <v>0</v>
      </c>
    </row>
    <row r="14" customFormat="false" ht="15" hidden="false" customHeight="false" outlineLevel="0" collapsed="false">
      <c r="A14" s="34" t="s">
        <v>8</v>
      </c>
      <c r="B14" s="35" t="n">
        <v>3</v>
      </c>
      <c r="C14" s="36" t="s">
        <v>9</v>
      </c>
      <c r="D14" s="37" t="n">
        <v>17.6</v>
      </c>
      <c r="E14" s="38" t="n">
        <v>1.25</v>
      </c>
      <c r="F14" s="35"/>
      <c r="G14" s="35" t="n">
        <v>0</v>
      </c>
      <c r="H14" s="35" t="n">
        <v>3</v>
      </c>
      <c r="I14" s="35"/>
      <c r="J14" s="35"/>
      <c r="K14" s="35"/>
      <c r="L14" s="36"/>
      <c r="M14" s="13" t="n">
        <f aca="false">SUM(I14:L14)</f>
        <v>0</v>
      </c>
      <c r="N14" s="14" t="s">
        <v>10</v>
      </c>
      <c r="O14" s="35" t="n">
        <v>3</v>
      </c>
      <c r="P14" s="36" t="s">
        <v>9</v>
      </c>
      <c r="Q14" s="39" t="n">
        <v>17.6</v>
      </c>
      <c r="R14" s="35" t="n">
        <v>1.28</v>
      </c>
      <c r="S14" s="35" t="s">
        <v>15</v>
      </c>
      <c r="T14" s="35" t="n">
        <v>0</v>
      </c>
      <c r="U14" s="35" t="n">
        <v>2</v>
      </c>
      <c r="V14" s="35"/>
      <c r="W14" s="35"/>
      <c r="X14" s="35" t="n">
        <v>1</v>
      </c>
      <c r="Y14" s="36"/>
      <c r="Z14" s="13" t="n">
        <f aca="false">SUM(V14:Y14)</f>
        <v>1</v>
      </c>
      <c r="AA14" s="40" t="s">
        <v>11</v>
      </c>
      <c r="AB14" s="41" t="n">
        <v>3</v>
      </c>
      <c r="AC14" s="42" t="s">
        <v>9</v>
      </c>
      <c r="AD14" s="43" t="n">
        <v>17.1</v>
      </c>
      <c r="AE14" s="41" t="n">
        <v>1.22</v>
      </c>
      <c r="AF14" s="41" t="s">
        <v>15</v>
      </c>
      <c r="AG14" s="41" t="n">
        <v>1</v>
      </c>
      <c r="AH14" s="41" t="n">
        <v>2</v>
      </c>
      <c r="AI14" s="41"/>
      <c r="AJ14" s="41"/>
      <c r="AK14" s="41"/>
      <c r="AL14" s="42"/>
      <c r="AM14" s="13" t="n">
        <f aca="false">SUM(AI14:AL14)</f>
        <v>0</v>
      </c>
    </row>
    <row r="15" customFormat="false" ht="15" hidden="false" customHeight="false" outlineLevel="0" collapsed="false">
      <c r="A15" s="44" t="s">
        <v>8</v>
      </c>
      <c r="B15" s="45" t="n">
        <v>3</v>
      </c>
      <c r="C15" s="46" t="s">
        <v>12</v>
      </c>
      <c r="D15" s="47" t="n">
        <v>19.8</v>
      </c>
      <c r="E15" s="45" t="n">
        <v>1.61</v>
      </c>
      <c r="F15" s="45"/>
      <c r="G15" s="45" t="n">
        <v>0</v>
      </c>
      <c r="H15" s="45" t="n">
        <v>3</v>
      </c>
      <c r="I15" s="45"/>
      <c r="J15" s="45"/>
      <c r="K15" s="45"/>
      <c r="L15" s="46"/>
      <c r="M15" s="13" t="n">
        <f aca="false">SUM(I15:L15)</f>
        <v>0</v>
      </c>
      <c r="N15" s="9" t="s">
        <v>10</v>
      </c>
      <c r="O15" s="45" t="n">
        <v>3</v>
      </c>
      <c r="P15" s="46" t="s">
        <v>12</v>
      </c>
      <c r="Q15" s="47" t="n">
        <v>16.1</v>
      </c>
      <c r="R15" s="45" t="n">
        <v>1</v>
      </c>
      <c r="S15" s="45"/>
      <c r="T15" s="45" t="n">
        <v>0</v>
      </c>
      <c r="U15" s="45" t="n">
        <v>3</v>
      </c>
      <c r="V15" s="45"/>
      <c r="W15" s="45"/>
      <c r="X15" s="45"/>
      <c r="Y15" s="46"/>
      <c r="Z15" s="13" t="n">
        <f aca="false">SUM(V15:Y15)</f>
        <v>0</v>
      </c>
      <c r="AA15" s="44" t="s">
        <v>11</v>
      </c>
      <c r="AB15" s="45" t="n">
        <v>3</v>
      </c>
      <c r="AC15" s="46" t="s">
        <v>12</v>
      </c>
      <c r="AD15" s="47" t="n">
        <v>17.2</v>
      </c>
      <c r="AE15" s="45" t="n">
        <v>1.68</v>
      </c>
      <c r="AF15" s="45"/>
      <c r="AG15" s="45" t="n">
        <v>3</v>
      </c>
      <c r="AH15" s="45" t="n">
        <v>0</v>
      </c>
      <c r="AI15" s="45"/>
      <c r="AJ15" s="45"/>
      <c r="AK15" s="45"/>
      <c r="AL15" s="46"/>
      <c r="AM15" s="13" t="n">
        <f aca="false">SUM(AI15:AL15)</f>
        <v>0</v>
      </c>
    </row>
    <row r="16" customFormat="false" ht="15" hidden="false" customHeight="false" outlineLevel="0" collapsed="false">
      <c r="A16" s="44" t="s">
        <v>8</v>
      </c>
      <c r="B16" s="45" t="n">
        <v>3</v>
      </c>
      <c r="C16" s="46" t="s">
        <v>14</v>
      </c>
      <c r="D16" s="48" t="n">
        <v>17.5</v>
      </c>
      <c r="E16" s="49" t="n">
        <v>1.21</v>
      </c>
      <c r="F16" s="49"/>
      <c r="G16" s="49" t="n">
        <v>0</v>
      </c>
      <c r="H16" s="49" t="n">
        <v>3</v>
      </c>
      <c r="I16" s="49"/>
      <c r="J16" s="49"/>
      <c r="K16" s="49"/>
      <c r="L16" s="50"/>
      <c r="M16" s="13" t="n">
        <f aca="false">SUM(I16:L16)</f>
        <v>0</v>
      </c>
      <c r="N16" s="9" t="s">
        <v>10</v>
      </c>
      <c r="O16" s="45" t="n">
        <v>3</v>
      </c>
      <c r="P16" s="46" t="s">
        <v>14</v>
      </c>
      <c r="Q16" s="47" t="n">
        <v>19.9</v>
      </c>
      <c r="R16" s="45" t="n">
        <v>1.72</v>
      </c>
      <c r="S16" s="45"/>
      <c r="T16" s="45" t="n">
        <v>1</v>
      </c>
      <c r="U16" s="45" t="n">
        <v>2</v>
      </c>
      <c r="V16" s="45"/>
      <c r="W16" s="45"/>
      <c r="X16" s="45"/>
      <c r="Y16" s="46"/>
      <c r="Z16" s="13" t="n">
        <f aca="false">SUM(V16:Y16)</f>
        <v>0</v>
      </c>
      <c r="AA16" s="44" t="s">
        <v>11</v>
      </c>
      <c r="AB16" s="45" t="n">
        <v>3</v>
      </c>
      <c r="AC16" s="46" t="s">
        <v>14</v>
      </c>
      <c r="AD16" s="47" t="n">
        <v>17</v>
      </c>
      <c r="AE16" s="45" t="n">
        <v>1.25</v>
      </c>
      <c r="AF16" s="45"/>
      <c r="AG16" s="45" t="n">
        <v>3</v>
      </c>
      <c r="AH16" s="45" t="n">
        <v>0</v>
      </c>
      <c r="AI16" s="45"/>
      <c r="AJ16" s="45"/>
      <c r="AK16" s="45"/>
      <c r="AL16" s="46"/>
      <c r="AM16" s="13" t="n">
        <f aca="false">SUM(AI16:AL16)</f>
        <v>0</v>
      </c>
    </row>
    <row r="17" customFormat="false" ht="15" hidden="false" customHeight="false" outlineLevel="0" collapsed="false">
      <c r="A17" s="44" t="s">
        <v>8</v>
      </c>
      <c r="B17" s="45" t="n">
        <v>3</v>
      </c>
      <c r="C17" s="51" t="s">
        <v>16</v>
      </c>
      <c r="D17" s="52" t="n">
        <v>18.4</v>
      </c>
      <c r="E17" s="52" t="n">
        <v>1.38</v>
      </c>
      <c r="F17" s="52" t="s">
        <v>15</v>
      </c>
      <c r="G17" s="52" t="n">
        <v>1</v>
      </c>
      <c r="H17" s="52" t="n">
        <v>2</v>
      </c>
      <c r="I17" s="53"/>
      <c r="J17" s="53"/>
      <c r="K17" s="53"/>
      <c r="L17" s="54"/>
      <c r="M17" s="13" t="n">
        <f aca="false">SUM(I17:L17)</f>
        <v>0</v>
      </c>
      <c r="N17" s="9" t="s">
        <v>10</v>
      </c>
      <c r="O17" s="45" t="n">
        <v>3</v>
      </c>
      <c r="P17" s="46" t="s">
        <v>16</v>
      </c>
      <c r="Q17" s="47" t="n">
        <v>20.4</v>
      </c>
      <c r="R17" s="45" t="n">
        <v>1.84</v>
      </c>
      <c r="S17" s="45"/>
      <c r="T17" s="45" t="n">
        <v>1</v>
      </c>
      <c r="U17" s="45" t="n">
        <v>2</v>
      </c>
      <c r="V17" s="45"/>
      <c r="W17" s="45"/>
      <c r="X17" s="45"/>
      <c r="Y17" s="46"/>
      <c r="Z17" s="13" t="n">
        <f aca="false">SUM(V17:Y17)</f>
        <v>0</v>
      </c>
      <c r="AA17" s="44" t="s">
        <v>11</v>
      </c>
      <c r="AB17" s="45" t="n">
        <v>3</v>
      </c>
      <c r="AC17" s="46" t="s">
        <v>16</v>
      </c>
      <c r="AD17" s="47" t="n">
        <v>17.9</v>
      </c>
      <c r="AE17" s="45" t="n">
        <v>1.54</v>
      </c>
      <c r="AF17" s="45"/>
      <c r="AG17" s="45" t="n">
        <v>3</v>
      </c>
      <c r="AH17" s="45" t="n">
        <v>0</v>
      </c>
      <c r="AI17" s="45"/>
      <c r="AJ17" s="45"/>
      <c r="AK17" s="45"/>
      <c r="AL17" s="46"/>
      <c r="AM17" s="13" t="n">
        <f aca="false">SUM(AI17:AL17)</f>
        <v>0</v>
      </c>
    </row>
    <row r="18" customFormat="false" ht="15" hidden="false" customHeight="false" outlineLevel="0" collapsed="false">
      <c r="A18" s="44" t="s">
        <v>8</v>
      </c>
      <c r="B18" s="45" t="n">
        <v>3</v>
      </c>
      <c r="C18" s="46" t="s">
        <v>9</v>
      </c>
      <c r="D18" s="43" t="n">
        <v>17</v>
      </c>
      <c r="E18" s="41" t="n">
        <v>1.15</v>
      </c>
      <c r="F18" s="41"/>
      <c r="G18" s="41" t="n">
        <v>0</v>
      </c>
      <c r="H18" s="41" t="n">
        <v>3</v>
      </c>
      <c r="I18" s="41"/>
      <c r="J18" s="41"/>
      <c r="K18" s="41"/>
      <c r="L18" s="42"/>
      <c r="M18" s="13" t="n">
        <f aca="false">SUM(I18:L18)</f>
        <v>0</v>
      </c>
      <c r="N18" s="9" t="s">
        <v>10</v>
      </c>
      <c r="O18" s="45" t="n">
        <v>3</v>
      </c>
      <c r="P18" s="46" t="s">
        <v>9</v>
      </c>
      <c r="Q18" s="47" t="n">
        <v>16.9</v>
      </c>
      <c r="R18" s="45" t="n">
        <v>1.27</v>
      </c>
      <c r="S18" s="45"/>
      <c r="T18" s="45" t="n">
        <v>0</v>
      </c>
      <c r="U18" s="45" t="n">
        <v>3</v>
      </c>
      <c r="V18" s="45"/>
      <c r="W18" s="45"/>
      <c r="X18" s="45"/>
      <c r="Y18" s="46"/>
      <c r="Z18" s="13" t="n">
        <f aca="false">SUM(V18:Y18)</f>
        <v>0</v>
      </c>
      <c r="AA18" s="44" t="s">
        <v>11</v>
      </c>
      <c r="AB18" s="45" t="n">
        <v>3</v>
      </c>
      <c r="AC18" s="46" t="s">
        <v>9</v>
      </c>
      <c r="AD18" s="47" t="n">
        <v>16.6</v>
      </c>
      <c r="AE18" s="45" t="n">
        <v>1.25</v>
      </c>
      <c r="AF18" s="45"/>
      <c r="AG18" s="45" t="n">
        <v>1</v>
      </c>
      <c r="AH18" s="45" t="n">
        <v>2</v>
      </c>
      <c r="AI18" s="45"/>
      <c r="AJ18" s="45"/>
      <c r="AK18" s="45"/>
      <c r="AL18" s="46"/>
      <c r="AM18" s="13" t="n">
        <f aca="false">SUM(AI18:AL18)</f>
        <v>0</v>
      </c>
    </row>
    <row r="19" customFormat="false" ht="15" hidden="false" customHeight="false" outlineLevel="0" collapsed="false">
      <c r="A19" s="44" t="s">
        <v>8</v>
      </c>
      <c r="B19" s="45" t="n">
        <v>3</v>
      </c>
      <c r="C19" s="46" t="s">
        <v>12</v>
      </c>
      <c r="D19" s="47" t="n">
        <v>17.1</v>
      </c>
      <c r="E19" s="45" t="n">
        <v>1.19</v>
      </c>
      <c r="F19" s="45"/>
      <c r="G19" s="45" t="n">
        <v>0</v>
      </c>
      <c r="H19" s="45" t="n">
        <v>3</v>
      </c>
      <c r="I19" s="45"/>
      <c r="J19" s="45"/>
      <c r="K19" s="45"/>
      <c r="L19" s="46"/>
      <c r="M19" s="13" t="n">
        <f aca="false">SUM(I19:L19)</f>
        <v>0</v>
      </c>
      <c r="N19" s="9" t="s">
        <v>10</v>
      </c>
      <c r="O19" s="45" t="n">
        <v>3</v>
      </c>
      <c r="P19" s="46" t="s">
        <v>12</v>
      </c>
      <c r="Q19" s="47" t="n">
        <v>16.6</v>
      </c>
      <c r="R19" s="45" t="n">
        <v>1.16</v>
      </c>
      <c r="S19" s="45"/>
      <c r="T19" s="45" t="n">
        <v>1</v>
      </c>
      <c r="U19" s="45" t="n">
        <v>1</v>
      </c>
      <c r="V19" s="45"/>
      <c r="W19" s="45"/>
      <c r="X19" s="45"/>
      <c r="Y19" s="46" t="n">
        <v>1</v>
      </c>
      <c r="Z19" s="13" t="n">
        <f aca="false">SUM(V19:Y19)</f>
        <v>1</v>
      </c>
      <c r="AA19" s="44" t="s">
        <v>11</v>
      </c>
      <c r="AB19" s="45" t="n">
        <v>3</v>
      </c>
      <c r="AC19" s="46" t="s">
        <v>12</v>
      </c>
      <c r="AD19" s="47" t="n">
        <v>20.5</v>
      </c>
      <c r="AE19" s="45" t="n">
        <v>2</v>
      </c>
      <c r="AF19" s="45"/>
      <c r="AG19" s="45" t="n">
        <v>3</v>
      </c>
      <c r="AH19" s="45" t="n">
        <v>0</v>
      </c>
      <c r="AI19" s="45"/>
      <c r="AJ19" s="45"/>
      <c r="AK19" s="45"/>
      <c r="AL19" s="46"/>
      <c r="AM19" s="13" t="n">
        <f aca="false">SUM(AI19:AL19)</f>
        <v>0</v>
      </c>
    </row>
    <row r="20" customFormat="false" ht="15" hidden="false" customHeight="false" outlineLevel="0" collapsed="false">
      <c r="A20" s="44" t="s">
        <v>8</v>
      </c>
      <c r="B20" s="45" t="n">
        <v>3</v>
      </c>
      <c r="C20" s="46" t="s">
        <v>14</v>
      </c>
      <c r="D20" s="47" t="n">
        <v>17.5</v>
      </c>
      <c r="E20" s="45" t="n">
        <v>1.2</v>
      </c>
      <c r="F20" s="45"/>
      <c r="G20" s="45" t="n">
        <v>0</v>
      </c>
      <c r="H20" s="45" t="n">
        <v>3</v>
      </c>
      <c r="I20" s="45"/>
      <c r="J20" s="45"/>
      <c r="K20" s="45"/>
      <c r="L20" s="46"/>
      <c r="M20" s="13" t="n">
        <f aca="false">SUM(I20:L20)</f>
        <v>0</v>
      </c>
      <c r="N20" s="9" t="s">
        <v>10</v>
      </c>
      <c r="O20" s="45" t="n">
        <v>3</v>
      </c>
      <c r="P20" s="46" t="s">
        <v>14</v>
      </c>
      <c r="Q20" s="47" t="n">
        <v>17.4</v>
      </c>
      <c r="R20" s="45" t="n">
        <v>1.25</v>
      </c>
      <c r="S20" s="45" t="s">
        <v>15</v>
      </c>
      <c r="T20" s="45" t="n">
        <v>0</v>
      </c>
      <c r="U20" s="45" t="n">
        <v>3</v>
      </c>
      <c r="V20" s="45"/>
      <c r="W20" s="45"/>
      <c r="X20" s="45"/>
      <c r="Y20" s="46"/>
      <c r="Z20" s="13" t="n">
        <f aca="false">SUM(V20:Y20)</f>
        <v>0</v>
      </c>
      <c r="AA20" s="44" t="s">
        <v>11</v>
      </c>
      <c r="AB20" s="45" t="n">
        <v>3</v>
      </c>
      <c r="AC20" s="46" t="s">
        <v>14</v>
      </c>
      <c r="AD20" s="47" t="n">
        <v>17.5</v>
      </c>
      <c r="AE20" s="45" t="n">
        <v>1.48</v>
      </c>
      <c r="AF20" s="45"/>
      <c r="AG20" s="45" t="n">
        <v>3</v>
      </c>
      <c r="AH20" s="45" t="n">
        <v>0</v>
      </c>
      <c r="AI20" s="45"/>
      <c r="AJ20" s="45"/>
      <c r="AK20" s="45"/>
      <c r="AL20" s="46"/>
      <c r="AM20" s="13" t="n">
        <f aca="false">SUM(AI20:AL20)</f>
        <v>0</v>
      </c>
    </row>
    <row r="21" customFormat="false" ht="15" hidden="false" customHeight="false" outlineLevel="0" collapsed="false">
      <c r="A21" s="44" t="s">
        <v>8</v>
      </c>
      <c r="B21" s="45" t="n">
        <v>3</v>
      </c>
      <c r="C21" s="46" t="s">
        <v>16</v>
      </c>
      <c r="D21" s="47" t="n">
        <v>20</v>
      </c>
      <c r="E21" s="45" t="n">
        <v>1.7</v>
      </c>
      <c r="F21" s="45"/>
      <c r="G21" s="45" t="n">
        <v>0</v>
      </c>
      <c r="H21" s="45" t="n">
        <v>3</v>
      </c>
      <c r="I21" s="45"/>
      <c r="J21" s="45"/>
      <c r="K21" s="45"/>
      <c r="L21" s="46"/>
      <c r="M21" s="13" t="n">
        <f aca="false">SUM(I21:L21)</f>
        <v>0</v>
      </c>
      <c r="N21" s="9" t="s">
        <v>10</v>
      </c>
      <c r="O21" s="45" t="n">
        <v>3</v>
      </c>
      <c r="P21" s="46" t="s">
        <v>16</v>
      </c>
      <c r="Q21" s="47" t="n">
        <v>17.9</v>
      </c>
      <c r="R21" s="45" t="n">
        <v>1.42</v>
      </c>
      <c r="S21" s="45"/>
      <c r="T21" s="45" t="n">
        <v>1</v>
      </c>
      <c r="U21" s="45" t="n">
        <v>2</v>
      </c>
      <c r="V21" s="45"/>
      <c r="W21" s="45"/>
      <c r="X21" s="45"/>
      <c r="Y21" s="46"/>
      <c r="Z21" s="13" t="n">
        <f aca="false">SUM(V21:Y21)</f>
        <v>0</v>
      </c>
      <c r="AA21" s="44" t="s">
        <v>11</v>
      </c>
      <c r="AB21" s="45" t="n">
        <v>3</v>
      </c>
      <c r="AC21" s="46" t="s">
        <v>16</v>
      </c>
      <c r="AD21" s="47" t="n">
        <v>17.1</v>
      </c>
      <c r="AE21" s="45" t="n">
        <v>1.35</v>
      </c>
      <c r="AF21" s="45"/>
      <c r="AG21" s="45" t="n">
        <v>2</v>
      </c>
      <c r="AH21" s="45" t="n">
        <v>1</v>
      </c>
      <c r="AI21" s="45"/>
      <c r="AJ21" s="45"/>
      <c r="AK21" s="45"/>
      <c r="AL21" s="46"/>
      <c r="AM21" s="13" t="n">
        <f aca="false">SUM(AI21:AL21)</f>
        <v>0</v>
      </c>
    </row>
    <row r="22" customFormat="false" ht="15" hidden="false" customHeight="false" outlineLevel="0" collapsed="false">
      <c r="A22" s="44" t="s">
        <v>8</v>
      </c>
      <c r="B22" s="45" t="n">
        <v>3</v>
      </c>
      <c r="C22" s="46" t="s">
        <v>9</v>
      </c>
      <c r="D22" s="47" t="n">
        <v>19.9</v>
      </c>
      <c r="E22" s="45" t="n">
        <v>1.54</v>
      </c>
      <c r="F22" s="45"/>
      <c r="G22" s="45" t="n">
        <v>0</v>
      </c>
      <c r="H22" s="45" t="n">
        <v>3</v>
      </c>
      <c r="I22" s="45"/>
      <c r="J22" s="45"/>
      <c r="K22" s="45"/>
      <c r="L22" s="46"/>
      <c r="M22" s="13" t="n">
        <f aca="false">SUM(I22:L22)</f>
        <v>0</v>
      </c>
      <c r="N22" s="9" t="s">
        <v>10</v>
      </c>
      <c r="O22" s="45" t="n">
        <v>3</v>
      </c>
      <c r="P22" s="46" t="s">
        <v>9</v>
      </c>
      <c r="Q22" s="47" t="n">
        <v>17.6</v>
      </c>
      <c r="R22" s="45" t="n">
        <v>1.23</v>
      </c>
      <c r="S22" s="45"/>
      <c r="T22" s="45" t="n">
        <v>0</v>
      </c>
      <c r="U22" s="45" t="n">
        <v>3</v>
      </c>
      <c r="V22" s="45"/>
      <c r="W22" s="45"/>
      <c r="X22" s="45"/>
      <c r="Y22" s="46"/>
      <c r="Z22" s="13" t="n">
        <f aca="false">SUM(V22:Y22)</f>
        <v>0</v>
      </c>
      <c r="AA22" s="44" t="s">
        <v>11</v>
      </c>
      <c r="AB22" s="45" t="n">
        <v>3</v>
      </c>
      <c r="AC22" s="46" t="s">
        <v>9</v>
      </c>
      <c r="AD22" s="47" t="n">
        <v>17</v>
      </c>
      <c r="AE22" s="45" t="n">
        <v>1.29</v>
      </c>
      <c r="AF22" s="45"/>
      <c r="AG22" s="45" t="n">
        <v>3</v>
      </c>
      <c r="AH22" s="45" t="n">
        <v>0</v>
      </c>
      <c r="AI22" s="45"/>
      <c r="AJ22" s="45"/>
      <c r="AK22" s="45"/>
      <c r="AL22" s="46"/>
      <c r="AM22" s="13" t="n">
        <f aca="false">SUM(AI22:AL22)</f>
        <v>0</v>
      </c>
    </row>
    <row r="23" customFormat="false" ht="15" hidden="false" customHeight="false" outlineLevel="0" collapsed="false">
      <c r="A23" s="44" t="s">
        <v>8</v>
      </c>
      <c r="B23" s="45" t="n">
        <v>3</v>
      </c>
      <c r="C23" s="46" t="s">
        <v>12</v>
      </c>
      <c r="D23" s="47" t="n">
        <v>18.3</v>
      </c>
      <c r="E23" s="45" t="n">
        <v>1.47</v>
      </c>
      <c r="F23" s="45"/>
      <c r="G23" s="45" t="n">
        <v>0</v>
      </c>
      <c r="H23" s="45" t="n">
        <v>3</v>
      </c>
      <c r="I23" s="45"/>
      <c r="J23" s="45"/>
      <c r="K23" s="45"/>
      <c r="L23" s="46"/>
      <c r="M23" s="13" t="n">
        <f aca="false">SUM(I23:L23)</f>
        <v>0</v>
      </c>
      <c r="N23" s="9" t="s">
        <v>10</v>
      </c>
      <c r="O23" s="45" t="n">
        <v>3</v>
      </c>
      <c r="P23" s="46" t="s">
        <v>12</v>
      </c>
      <c r="Q23" s="47" t="n">
        <v>19.8</v>
      </c>
      <c r="R23" s="45" t="n">
        <v>1.59</v>
      </c>
      <c r="S23" s="45"/>
      <c r="T23" s="45" t="n">
        <v>0</v>
      </c>
      <c r="U23" s="45" t="n">
        <v>3</v>
      </c>
      <c r="V23" s="45"/>
      <c r="W23" s="45"/>
      <c r="X23" s="45"/>
      <c r="Y23" s="46"/>
      <c r="Z23" s="13" t="n">
        <f aca="false">SUM(V23:Y23)</f>
        <v>0</v>
      </c>
      <c r="AA23" s="44" t="s">
        <v>11</v>
      </c>
      <c r="AB23" s="45" t="n">
        <v>3</v>
      </c>
      <c r="AC23" s="46" t="s">
        <v>12</v>
      </c>
      <c r="AD23" s="47" t="n">
        <v>17.3</v>
      </c>
      <c r="AE23" s="45" t="n">
        <v>1.24</v>
      </c>
      <c r="AF23" s="45"/>
      <c r="AG23" s="45" t="n">
        <v>1</v>
      </c>
      <c r="AH23" s="45" t="n">
        <v>2</v>
      </c>
      <c r="AI23" s="45"/>
      <c r="AJ23" s="45"/>
      <c r="AK23" s="45"/>
      <c r="AL23" s="46"/>
      <c r="AM23" s="13" t="n">
        <f aca="false">SUM(AI23:AL23)</f>
        <v>0</v>
      </c>
    </row>
    <row r="24" customFormat="false" ht="15" hidden="false" customHeight="false" outlineLevel="0" collapsed="false">
      <c r="A24" s="44" t="s">
        <v>8</v>
      </c>
      <c r="B24" s="45" t="n">
        <v>3</v>
      </c>
      <c r="C24" s="46" t="s">
        <v>14</v>
      </c>
      <c r="D24" s="47" t="n">
        <v>18</v>
      </c>
      <c r="E24" s="45" t="n">
        <v>1.4</v>
      </c>
      <c r="F24" s="45"/>
      <c r="G24" s="45" t="n">
        <v>0</v>
      </c>
      <c r="H24" s="45" t="n">
        <v>3</v>
      </c>
      <c r="I24" s="45"/>
      <c r="J24" s="45"/>
      <c r="K24" s="45"/>
      <c r="L24" s="46"/>
      <c r="M24" s="13" t="n">
        <f aca="false">SUM(I24:L24)</f>
        <v>0</v>
      </c>
      <c r="N24" s="9" t="s">
        <v>10</v>
      </c>
      <c r="O24" s="45" t="n">
        <v>3</v>
      </c>
      <c r="P24" s="46" t="s">
        <v>14</v>
      </c>
      <c r="Q24" s="47" t="n">
        <v>16.7</v>
      </c>
      <c r="R24" s="45" t="n">
        <v>1.17</v>
      </c>
      <c r="S24" s="45"/>
      <c r="T24" s="45" t="n">
        <v>3</v>
      </c>
      <c r="U24" s="45" t="n">
        <v>0</v>
      </c>
      <c r="V24" s="45"/>
      <c r="W24" s="45"/>
      <c r="X24" s="45"/>
      <c r="Y24" s="46"/>
      <c r="Z24" s="13" t="n">
        <f aca="false">SUM(V24:Y24)</f>
        <v>0</v>
      </c>
      <c r="AA24" s="44" t="s">
        <v>11</v>
      </c>
      <c r="AB24" s="45" t="n">
        <v>3</v>
      </c>
      <c r="AC24" s="46" t="s">
        <v>14</v>
      </c>
      <c r="AD24" s="47" t="n">
        <v>20.6</v>
      </c>
      <c r="AE24" s="45" t="n">
        <v>2.25</v>
      </c>
      <c r="AF24" s="45"/>
      <c r="AG24" s="45" t="n">
        <v>3</v>
      </c>
      <c r="AH24" s="45" t="n">
        <v>0</v>
      </c>
      <c r="AI24" s="45"/>
      <c r="AJ24" s="45"/>
      <c r="AK24" s="45"/>
      <c r="AL24" s="46"/>
      <c r="AM24" s="13" t="n">
        <f aca="false">SUM(AI24:AL24)</f>
        <v>0</v>
      </c>
    </row>
    <row r="25" customFormat="false" ht="15" hidden="false" customHeight="false" outlineLevel="0" collapsed="false">
      <c r="A25" s="55" t="s">
        <v>8</v>
      </c>
      <c r="B25" s="56" t="n">
        <v>3</v>
      </c>
      <c r="C25" s="57" t="s">
        <v>16</v>
      </c>
      <c r="D25" s="58" t="n">
        <v>18.2</v>
      </c>
      <c r="E25" s="56" t="n">
        <v>1.4</v>
      </c>
      <c r="F25" s="56"/>
      <c r="G25" s="56" t="n">
        <v>0</v>
      </c>
      <c r="H25" s="56" t="n">
        <v>3</v>
      </c>
      <c r="I25" s="56"/>
      <c r="J25" s="56"/>
      <c r="K25" s="56"/>
      <c r="L25" s="57"/>
      <c r="M25" s="13" t="n">
        <f aca="false">SUM(I25:L25)</f>
        <v>0</v>
      </c>
      <c r="N25" s="59" t="s">
        <v>10</v>
      </c>
      <c r="O25" s="56" t="n">
        <v>3</v>
      </c>
      <c r="P25" s="57" t="s">
        <v>16</v>
      </c>
      <c r="Q25" s="58" t="n">
        <v>16</v>
      </c>
      <c r="R25" s="56" t="n">
        <v>0.96</v>
      </c>
      <c r="S25" s="56"/>
      <c r="T25" s="56" t="n">
        <v>1</v>
      </c>
      <c r="U25" s="56" t="n">
        <v>2</v>
      </c>
      <c r="V25" s="56"/>
      <c r="W25" s="56"/>
      <c r="X25" s="56"/>
      <c r="Y25" s="57"/>
      <c r="Z25" s="13" t="n">
        <f aca="false">SUM(V25:Y25)</f>
        <v>0</v>
      </c>
      <c r="AA25" s="60" t="s">
        <v>11</v>
      </c>
      <c r="AB25" s="49" t="n">
        <v>3</v>
      </c>
      <c r="AC25" s="50" t="s">
        <v>16</v>
      </c>
      <c r="AD25" s="48" t="n">
        <v>16.5</v>
      </c>
      <c r="AE25" s="49" t="n">
        <v>1.24</v>
      </c>
      <c r="AF25" s="49"/>
      <c r="AG25" s="49" t="n">
        <v>3</v>
      </c>
      <c r="AH25" s="49" t="n">
        <v>0</v>
      </c>
      <c r="AI25" s="49"/>
      <c r="AJ25" s="49"/>
      <c r="AK25" s="49"/>
      <c r="AL25" s="50"/>
      <c r="AM25" s="13" t="n">
        <f aca="false">SUM(AI25:AL25)</f>
        <v>0</v>
      </c>
    </row>
    <row r="26" customFormat="false" ht="15" hidden="false" customHeight="false" outlineLevel="0" collapsed="false">
      <c r="A26" s="9" t="s">
        <v>8</v>
      </c>
      <c r="B26" s="10" t="n">
        <v>6</v>
      </c>
      <c r="C26" s="11" t="s">
        <v>9</v>
      </c>
      <c r="D26" s="12" t="n">
        <v>18.6</v>
      </c>
      <c r="E26" s="10" t="n">
        <v>1.41</v>
      </c>
      <c r="F26" s="10"/>
      <c r="G26" s="10" t="n">
        <v>1</v>
      </c>
      <c r="H26" s="10" t="n">
        <v>5</v>
      </c>
      <c r="I26" s="10"/>
      <c r="J26" s="10"/>
      <c r="K26" s="10"/>
      <c r="L26" s="11"/>
      <c r="M26" s="13" t="n">
        <f aca="false">SUM(I26:L26)</f>
        <v>0</v>
      </c>
      <c r="N26" s="9" t="s">
        <v>10</v>
      </c>
      <c r="O26" s="10" t="n">
        <v>6</v>
      </c>
      <c r="P26" s="11" t="s">
        <v>9</v>
      </c>
      <c r="Q26" s="12" t="n">
        <v>20.9</v>
      </c>
      <c r="R26" s="10" t="n">
        <v>2.32</v>
      </c>
      <c r="S26" s="10"/>
      <c r="T26" s="10" t="n">
        <v>1</v>
      </c>
      <c r="U26" s="10" t="n">
        <v>5</v>
      </c>
      <c r="V26" s="10"/>
      <c r="W26" s="10"/>
      <c r="X26" s="10"/>
      <c r="Y26" s="11"/>
      <c r="Z26" s="13" t="n">
        <f aca="false">SUM(V26:Y26)</f>
        <v>0</v>
      </c>
      <c r="AA26" s="14" t="s">
        <v>11</v>
      </c>
      <c r="AB26" s="15" t="n">
        <v>6</v>
      </c>
      <c r="AC26" s="16" t="s">
        <v>9</v>
      </c>
      <c r="AD26" s="61" t="n">
        <v>17.1</v>
      </c>
      <c r="AE26" s="15" t="n">
        <v>1.34</v>
      </c>
      <c r="AF26" s="15"/>
      <c r="AG26" s="15" t="n">
        <v>6</v>
      </c>
      <c r="AH26" s="15" t="n">
        <v>0</v>
      </c>
      <c r="AI26" s="15"/>
      <c r="AJ26" s="15"/>
      <c r="AK26" s="15"/>
      <c r="AL26" s="16"/>
      <c r="AM26" s="13" t="n">
        <f aca="false">SUM(AI26:AL26)</f>
        <v>0</v>
      </c>
    </row>
    <row r="27" customFormat="false" ht="15" hidden="false" customHeight="false" outlineLevel="0" collapsed="false">
      <c r="A27" s="19" t="s">
        <v>8</v>
      </c>
      <c r="B27" s="20" t="n">
        <v>6</v>
      </c>
      <c r="C27" s="21" t="s">
        <v>12</v>
      </c>
      <c r="D27" s="22" t="n">
        <v>19.5</v>
      </c>
      <c r="E27" s="20" t="n">
        <v>1.68</v>
      </c>
      <c r="F27" s="20"/>
      <c r="G27" s="20" t="n">
        <v>3</v>
      </c>
      <c r="H27" s="20" t="n">
        <v>3</v>
      </c>
      <c r="I27" s="20"/>
      <c r="J27" s="20"/>
      <c r="K27" s="20"/>
      <c r="L27" s="21"/>
      <c r="M27" s="13" t="n">
        <f aca="false">SUM(I27:L27)</f>
        <v>0</v>
      </c>
      <c r="N27" s="9" t="s">
        <v>10</v>
      </c>
      <c r="O27" s="20" t="n">
        <v>6</v>
      </c>
      <c r="P27" s="21" t="s">
        <v>12</v>
      </c>
      <c r="Q27" s="22" t="n">
        <v>17.7</v>
      </c>
      <c r="R27" s="20" t="n">
        <v>1.3</v>
      </c>
      <c r="S27" s="20"/>
      <c r="T27" s="20" t="n">
        <v>2</v>
      </c>
      <c r="U27" s="20" t="n">
        <v>4</v>
      </c>
      <c r="V27" s="20"/>
      <c r="W27" s="20"/>
      <c r="X27" s="20"/>
      <c r="Y27" s="21"/>
      <c r="Z27" s="13" t="n">
        <f aca="false">SUM(V27:Y27)</f>
        <v>0</v>
      </c>
      <c r="AA27" s="19" t="s">
        <v>11</v>
      </c>
      <c r="AB27" s="20" t="n">
        <v>6</v>
      </c>
      <c r="AC27" s="21" t="s">
        <v>12</v>
      </c>
      <c r="AD27" s="22" t="n">
        <v>20.2</v>
      </c>
      <c r="AE27" s="20" t="n">
        <v>1.88</v>
      </c>
      <c r="AF27" s="20"/>
      <c r="AG27" s="20" t="n">
        <v>3</v>
      </c>
      <c r="AH27" s="20" t="n">
        <v>3</v>
      </c>
      <c r="AI27" s="20"/>
      <c r="AJ27" s="20"/>
      <c r="AK27" s="20"/>
      <c r="AL27" s="21"/>
      <c r="AM27" s="13" t="n">
        <f aca="false">SUM(AI27:AL27)</f>
        <v>0</v>
      </c>
    </row>
    <row r="28" customFormat="false" ht="15" hidden="false" customHeight="false" outlineLevel="0" collapsed="false">
      <c r="A28" s="19" t="s">
        <v>8</v>
      </c>
      <c r="B28" s="20" t="n">
        <v>6</v>
      </c>
      <c r="C28" s="21" t="s">
        <v>14</v>
      </c>
      <c r="D28" s="22" t="n">
        <v>17.9</v>
      </c>
      <c r="E28" s="20" t="n">
        <v>1.39</v>
      </c>
      <c r="F28" s="20"/>
      <c r="G28" s="20" t="n">
        <v>1</v>
      </c>
      <c r="H28" s="20" t="n">
        <v>5</v>
      </c>
      <c r="I28" s="20"/>
      <c r="J28" s="20"/>
      <c r="K28" s="20"/>
      <c r="L28" s="21"/>
      <c r="M28" s="13" t="n">
        <f aca="false">SUM(I28:L28)</f>
        <v>0</v>
      </c>
      <c r="N28" s="9" t="s">
        <v>10</v>
      </c>
      <c r="O28" s="20" t="n">
        <v>6</v>
      </c>
      <c r="P28" s="21" t="s">
        <v>14</v>
      </c>
      <c r="Q28" s="22" t="n">
        <v>19.6</v>
      </c>
      <c r="R28" s="20" t="n">
        <v>1.58</v>
      </c>
      <c r="S28" s="20"/>
      <c r="T28" s="20" t="n">
        <v>0</v>
      </c>
      <c r="U28" s="20" t="n">
        <v>4</v>
      </c>
      <c r="V28" s="20"/>
      <c r="W28" s="20"/>
      <c r="X28" s="20" t="n">
        <v>1</v>
      </c>
      <c r="Y28" s="21" t="n">
        <v>1</v>
      </c>
      <c r="Z28" s="13" t="n">
        <f aca="false">SUM(V28:Y28)</f>
        <v>2</v>
      </c>
      <c r="AA28" s="19" t="s">
        <v>11</v>
      </c>
      <c r="AB28" s="20" t="n">
        <v>6</v>
      </c>
      <c r="AC28" s="21" t="s">
        <v>14</v>
      </c>
      <c r="AD28" s="22" t="n">
        <v>16</v>
      </c>
      <c r="AE28" s="20" t="n">
        <v>1.09</v>
      </c>
      <c r="AF28" s="20"/>
      <c r="AG28" s="20" t="n">
        <v>5</v>
      </c>
      <c r="AH28" s="20" t="n">
        <v>1</v>
      </c>
      <c r="AI28" s="20"/>
      <c r="AJ28" s="20"/>
      <c r="AK28" s="20"/>
      <c r="AL28" s="21"/>
      <c r="AM28" s="13" t="n">
        <f aca="false">SUM(AI28:AL28)</f>
        <v>0</v>
      </c>
    </row>
    <row r="29" customFormat="false" ht="15" hidden="false" customHeight="false" outlineLevel="0" collapsed="false">
      <c r="A29" s="19" t="s">
        <v>8</v>
      </c>
      <c r="B29" s="20" t="n">
        <v>6</v>
      </c>
      <c r="C29" s="21" t="s">
        <v>16</v>
      </c>
      <c r="D29" s="22" t="n">
        <v>17.2</v>
      </c>
      <c r="E29" s="20" t="n">
        <v>1.2</v>
      </c>
      <c r="F29" s="20"/>
      <c r="G29" s="20" t="n">
        <v>0</v>
      </c>
      <c r="H29" s="20" t="n">
        <v>6</v>
      </c>
      <c r="I29" s="20"/>
      <c r="J29" s="20"/>
      <c r="K29" s="20"/>
      <c r="L29" s="21"/>
      <c r="M29" s="13" t="n">
        <f aca="false">SUM(I29:L29)</f>
        <v>0</v>
      </c>
      <c r="N29" s="9" t="s">
        <v>10</v>
      </c>
      <c r="O29" s="20" t="n">
        <v>6</v>
      </c>
      <c r="P29" s="21" t="s">
        <v>16</v>
      </c>
      <c r="Q29" s="22" t="n">
        <v>19.7</v>
      </c>
      <c r="R29" s="20" t="n">
        <v>1.68</v>
      </c>
      <c r="S29" s="20"/>
      <c r="T29" s="20" t="n">
        <v>2</v>
      </c>
      <c r="U29" s="20" t="n">
        <v>4</v>
      </c>
      <c r="V29" s="20"/>
      <c r="W29" s="20"/>
      <c r="X29" s="20"/>
      <c r="Y29" s="21"/>
      <c r="Z29" s="13" t="n">
        <f aca="false">SUM(V29:Y29)</f>
        <v>0</v>
      </c>
      <c r="AA29" s="19" t="s">
        <v>11</v>
      </c>
      <c r="AB29" s="20" t="n">
        <v>6</v>
      </c>
      <c r="AC29" s="21" t="s">
        <v>16</v>
      </c>
      <c r="AD29" s="22" t="n">
        <v>16.7</v>
      </c>
      <c r="AE29" s="20" t="n">
        <v>1.37</v>
      </c>
      <c r="AF29" s="20"/>
      <c r="AG29" s="20" t="n">
        <v>5</v>
      </c>
      <c r="AH29" s="20" t="n">
        <v>1</v>
      </c>
      <c r="AI29" s="20"/>
      <c r="AJ29" s="20"/>
      <c r="AK29" s="20"/>
      <c r="AL29" s="21"/>
      <c r="AM29" s="13" t="n">
        <f aca="false">SUM(AI29:AL29)</f>
        <v>0</v>
      </c>
    </row>
    <row r="30" customFormat="false" ht="15" hidden="false" customHeight="false" outlineLevel="0" collapsed="false">
      <c r="A30" s="19" t="s">
        <v>8</v>
      </c>
      <c r="B30" s="20" t="n">
        <v>6</v>
      </c>
      <c r="C30" s="21" t="s">
        <v>9</v>
      </c>
      <c r="D30" s="22" t="n">
        <v>18.8</v>
      </c>
      <c r="E30" s="20" t="n">
        <v>1.41</v>
      </c>
      <c r="F30" s="20"/>
      <c r="G30" s="20" t="n">
        <v>6</v>
      </c>
      <c r="H30" s="20" t="n">
        <v>0</v>
      </c>
      <c r="I30" s="20"/>
      <c r="J30" s="20"/>
      <c r="K30" s="20"/>
      <c r="L30" s="21"/>
      <c r="M30" s="13" t="n">
        <f aca="false">SUM(I30:L30)</f>
        <v>0</v>
      </c>
      <c r="N30" s="9" t="s">
        <v>10</v>
      </c>
      <c r="O30" s="20" t="n">
        <v>6</v>
      </c>
      <c r="P30" s="21" t="s">
        <v>9</v>
      </c>
      <c r="Q30" s="22" t="n">
        <v>19.6</v>
      </c>
      <c r="R30" s="20" t="n">
        <v>1.63</v>
      </c>
      <c r="S30" s="20"/>
      <c r="T30" s="20" t="n">
        <v>2</v>
      </c>
      <c r="U30" s="20" t="n">
        <v>3</v>
      </c>
      <c r="V30" s="20"/>
      <c r="W30" s="20"/>
      <c r="X30" s="20"/>
      <c r="Y30" s="21" t="n">
        <v>1</v>
      </c>
      <c r="Z30" s="13" t="n">
        <f aca="false">SUM(V30:Y30)</f>
        <v>1</v>
      </c>
      <c r="AA30" s="19" t="s">
        <v>11</v>
      </c>
      <c r="AB30" s="20" t="n">
        <v>6</v>
      </c>
      <c r="AC30" s="21" t="s">
        <v>9</v>
      </c>
      <c r="AD30" s="22" t="n">
        <v>17.6</v>
      </c>
      <c r="AE30" s="20" t="n">
        <v>1.54</v>
      </c>
      <c r="AF30" s="20"/>
      <c r="AG30" s="20" t="n">
        <v>3</v>
      </c>
      <c r="AH30" s="20" t="n">
        <v>2</v>
      </c>
      <c r="AI30" s="20"/>
      <c r="AJ30" s="20"/>
      <c r="AK30" s="20"/>
      <c r="AL30" s="21"/>
      <c r="AM30" s="13" t="n">
        <f aca="false">SUM(AI30:AL30)</f>
        <v>0</v>
      </c>
    </row>
    <row r="31" customFormat="false" ht="15" hidden="false" customHeight="false" outlineLevel="0" collapsed="false">
      <c r="A31" s="19" t="s">
        <v>8</v>
      </c>
      <c r="B31" s="20" t="n">
        <v>6</v>
      </c>
      <c r="C31" s="21" t="s">
        <v>12</v>
      </c>
      <c r="D31" s="22" t="n">
        <v>18</v>
      </c>
      <c r="E31" s="20" t="n">
        <v>1.4</v>
      </c>
      <c r="F31" s="20"/>
      <c r="G31" s="20" t="n">
        <v>0</v>
      </c>
      <c r="H31" s="20" t="n">
        <v>6</v>
      </c>
      <c r="I31" s="20"/>
      <c r="J31" s="20"/>
      <c r="K31" s="20"/>
      <c r="L31" s="21"/>
      <c r="M31" s="13" t="n">
        <f aca="false">SUM(I31:L31)</f>
        <v>0</v>
      </c>
      <c r="N31" s="9" t="s">
        <v>10</v>
      </c>
      <c r="O31" s="20" t="n">
        <v>6</v>
      </c>
      <c r="P31" s="21" t="s">
        <v>12</v>
      </c>
      <c r="Q31" s="22" t="n">
        <v>16.2</v>
      </c>
      <c r="R31" s="20" t="n">
        <v>1.01</v>
      </c>
      <c r="S31" s="20"/>
      <c r="T31" s="20" t="n">
        <v>4</v>
      </c>
      <c r="U31" s="20" t="n">
        <v>2</v>
      </c>
      <c r="V31" s="20"/>
      <c r="W31" s="20"/>
      <c r="X31" s="20"/>
      <c r="Y31" s="21"/>
      <c r="Z31" s="13" t="n">
        <f aca="false">SUM(V31:Y31)</f>
        <v>0</v>
      </c>
      <c r="AA31" s="19" t="s">
        <v>11</v>
      </c>
      <c r="AB31" s="20" t="n">
        <v>6</v>
      </c>
      <c r="AC31" s="21" t="s">
        <v>12</v>
      </c>
      <c r="AD31" s="22" t="n">
        <v>17.1</v>
      </c>
      <c r="AE31" s="20" t="n">
        <v>1.36</v>
      </c>
      <c r="AF31" s="20"/>
      <c r="AG31" s="20" t="n">
        <v>6</v>
      </c>
      <c r="AH31" s="20" t="n">
        <v>0</v>
      </c>
      <c r="AI31" s="20"/>
      <c r="AJ31" s="20"/>
      <c r="AK31" s="20"/>
      <c r="AL31" s="21"/>
      <c r="AM31" s="13" t="n">
        <f aca="false">SUM(AI31:AL31)</f>
        <v>0</v>
      </c>
    </row>
    <row r="32" customFormat="false" ht="15" hidden="false" customHeight="false" outlineLevel="0" collapsed="false">
      <c r="A32" s="19" t="s">
        <v>8</v>
      </c>
      <c r="B32" s="20" t="n">
        <v>6</v>
      </c>
      <c r="C32" s="21" t="s">
        <v>14</v>
      </c>
      <c r="D32" s="22" t="n">
        <v>16.8</v>
      </c>
      <c r="E32" s="20" t="n">
        <v>1.12</v>
      </c>
      <c r="F32" s="20"/>
      <c r="G32" s="20" t="n">
        <v>0</v>
      </c>
      <c r="H32" s="20" t="n">
        <v>6</v>
      </c>
      <c r="I32" s="20"/>
      <c r="J32" s="20"/>
      <c r="K32" s="20"/>
      <c r="L32" s="21"/>
      <c r="M32" s="13" t="n">
        <f aca="false">SUM(I32:L32)</f>
        <v>0</v>
      </c>
      <c r="N32" s="9" t="s">
        <v>10</v>
      </c>
      <c r="O32" s="20" t="n">
        <v>6</v>
      </c>
      <c r="P32" s="21" t="s">
        <v>14</v>
      </c>
      <c r="Q32" s="22" t="n">
        <v>18.6</v>
      </c>
      <c r="R32" s="20" t="n">
        <v>1.54</v>
      </c>
      <c r="S32" s="20"/>
      <c r="T32" s="20" t="n">
        <v>1</v>
      </c>
      <c r="U32" s="20" t="n">
        <v>4</v>
      </c>
      <c r="V32" s="20"/>
      <c r="W32" s="20"/>
      <c r="X32" s="20"/>
      <c r="Y32" s="21"/>
      <c r="Z32" s="13" t="n">
        <f aca="false">SUM(V32:Y32)</f>
        <v>0</v>
      </c>
      <c r="AA32" s="19" t="s">
        <v>11</v>
      </c>
      <c r="AB32" s="20" t="n">
        <v>6</v>
      </c>
      <c r="AC32" s="21" t="s">
        <v>14</v>
      </c>
      <c r="AD32" s="22" t="n">
        <v>17.4</v>
      </c>
      <c r="AE32" s="20" t="n">
        <v>1.42</v>
      </c>
      <c r="AF32" s="20"/>
      <c r="AG32" s="20" t="n">
        <v>4</v>
      </c>
      <c r="AH32" s="20" t="n">
        <v>2</v>
      </c>
      <c r="AI32" s="20"/>
      <c r="AJ32" s="20"/>
      <c r="AK32" s="20"/>
      <c r="AL32" s="21"/>
      <c r="AM32" s="13" t="n">
        <f aca="false">SUM(AI32:AL32)</f>
        <v>0</v>
      </c>
    </row>
    <row r="33" customFormat="false" ht="15" hidden="false" customHeight="false" outlineLevel="0" collapsed="false">
      <c r="A33" s="19" t="s">
        <v>8</v>
      </c>
      <c r="B33" s="20" t="n">
        <v>6</v>
      </c>
      <c r="C33" s="21" t="s">
        <v>16</v>
      </c>
      <c r="D33" s="22" t="n">
        <v>16.2</v>
      </c>
      <c r="E33" s="20" t="n">
        <v>0.99</v>
      </c>
      <c r="F33" s="20"/>
      <c r="G33" s="20" t="n">
        <v>0</v>
      </c>
      <c r="H33" s="20" t="n">
        <v>6</v>
      </c>
      <c r="I33" s="20"/>
      <c r="J33" s="20"/>
      <c r="K33" s="20"/>
      <c r="L33" s="21"/>
      <c r="M33" s="13" t="n">
        <f aca="false">SUM(I33:L33)</f>
        <v>0</v>
      </c>
      <c r="N33" s="9" t="s">
        <v>10</v>
      </c>
      <c r="O33" s="20" t="n">
        <v>6</v>
      </c>
      <c r="P33" s="21" t="s">
        <v>16</v>
      </c>
      <c r="Q33" s="22" t="n">
        <v>16.9</v>
      </c>
      <c r="R33" s="20" t="n">
        <v>1.25</v>
      </c>
      <c r="S33" s="20"/>
      <c r="T33" s="20" t="n">
        <v>3</v>
      </c>
      <c r="U33" s="20" t="n">
        <v>3</v>
      </c>
      <c r="V33" s="20"/>
      <c r="W33" s="20"/>
      <c r="X33" s="20"/>
      <c r="Y33" s="21"/>
      <c r="Z33" s="13" t="n">
        <f aca="false">SUM(V33:Y33)</f>
        <v>0</v>
      </c>
      <c r="AA33" s="19" t="s">
        <v>11</v>
      </c>
      <c r="AB33" s="20" t="n">
        <v>6</v>
      </c>
      <c r="AC33" s="21" t="s">
        <v>16</v>
      </c>
      <c r="AD33" s="22" t="n">
        <v>20.1</v>
      </c>
      <c r="AE33" s="20" t="n">
        <v>1.79</v>
      </c>
      <c r="AF33" s="20"/>
      <c r="AG33" s="20" t="n">
        <v>2</v>
      </c>
      <c r="AH33" s="20" t="n">
        <v>3</v>
      </c>
      <c r="AI33" s="20"/>
      <c r="AJ33" s="20"/>
      <c r="AK33" s="20" t="n">
        <v>1</v>
      </c>
      <c r="AL33" s="21"/>
      <c r="AM33" s="13" t="n">
        <f aca="false">SUM(AI33:AL33)</f>
        <v>1</v>
      </c>
    </row>
    <row r="34" customFormat="false" ht="15" hidden="false" customHeight="false" outlineLevel="0" collapsed="false">
      <c r="A34" s="19" t="s">
        <v>8</v>
      </c>
      <c r="B34" s="20" t="n">
        <v>6</v>
      </c>
      <c r="C34" s="21" t="s">
        <v>9</v>
      </c>
      <c r="D34" s="22" t="n">
        <v>16.7</v>
      </c>
      <c r="E34" s="20" t="n">
        <v>1.12</v>
      </c>
      <c r="F34" s="20"/>
      <c r="G34" s="20" t="n">
        <v>0</v>
      </c>
      <c r="H34" s="20" t="n">
        <v>6</v>
      </c>
      <c r="I34" s="20"/>
      <c r="J34" s="20"/>
      <c r="K34" s="20"/>
      <c r="L34" s="21"/>
      <c r="M34" s="13" t="n">
        <f aca="false">SUM(I34:L34)</f>
        <v>0</v>
      </c>
      <c r="N34" s="9" t="s">
        <v>10</v>
      </c>
      <c r="O34" s="20" t="n">
        <v>6</v>
      </c>
      <c r="P34" s="21" t="s">
        <v>9</v>
      </c>
      <c r="Q34" s="22" t="n">
        <v>17.9</v>
      </c>
      <c r="R34" s="20" t="n">
        <v>1.36</v>
      </c>
      <c r="S34" s="20"/>
      <c r="T34" s="20" t="n">
        <v>0</v>
      </c>
      <c r="U34" s="20" t="n">
        <v>6</v>
      </c>
      <c r="V34" s="20"/>
      <c r="W34" s="20"/>
      <c r="X34" s="20"/>
      <c r="Y34" s="21"/>
      <c r="Z34" s="13" t="n">
        <f aca="false">SUM(V34:Y34)</f>
        <v>0</v>
      </c>
      <c r="AA34" s="19" t="s">
        <v>11</v>
      </c>
      <c r="AB34" s="20" t="n">
        <v>6</v>
      </c>
      <c r="AC34" s="21" t="s">
        <v>9</v>
      </c>
      <c r="AD34" s="22" t="n">
        <v>16.1</v>
      </c>
      <c r="AE34" s="20" t="n">
        <v>1.07</v>
      </c>
      <c r="AF34" s="20"/>
      <c r="AG34" s="20" t="n">
        <v>4</v>
      </c>
      <c r="AH34" s="20" t="n">
        <v>1</v>
      </c>
      <c r="AI34" s="20"/>
      <c r="AJ34" s="20"/>
      <c r="AK34" s="20"/>
      <c r="AL34" s="21" t="n">
        <v>1</v>
      </c>
      <c r="AM34" s="13" t="n">
        <f aca="false">SUM(AI34:AL34)</f>
        <v>1</v>
      </c>
    </row>
    <row r="35" customFormat="false" ht="15" hidden="false" customHeight="false" outlineLevel="0" collapsed="false">
      <c r="A35" s="19" t="s">
        <v>8</v>
      </c>
      <c r="B35" s="20" t="n">
        <v>6</v>
      </c>
      <c r="C35" s="21" t="s">
        <v>12</v>
      </c>
      <c r="D35" s="22" t="n">
        <v>17</v>
      </c>
      <c r="E35" s="20" t="n">
        <v>1.12</v>
      </c>
      <c r="F35" s="20"/>
      <c r="G35" s="20" t="n">
        <v>1</v>
      </c>
      <c r="H35" s="20" t="n">
        <v>5</v>
      </c>
      <c r="I35" s="20"/>
      <c r="J35" s="20"/>
      <c r="K35" s="20"/>
      <c r="L35" s="21"/>
      <c r="M35" s="13" t="n">
        <f aca="false">SUM(I35:L35)</f>
        <v>0</v>
      </c>
      <c r="N35" s="9" t="s">
        <v>10</v>
      </c>
      <c r="O35" s="20" t="n">
        <v>6</v>
      </c>
      <c r="P35" s="21" t="s">
        <v>12</v>
      </c>
      <c r="Q35" s="22" t="n">
        <v>19.6</v>
      </c>
      <c r="R35" s="20" t="n">
        <v>1.63</v>
      </c>
      <c r="S35" s="20"/>
      <c r="T35" s="20" t="n">
        <v>3</v>
      </c>
      <c r="U35" s="20" t="n">
        <v>3</v>
      </c>
      <c r="V35" s="20"/>
      <c r="W35" s="20"/>
      <c r="X35" s="20"/>
      <c r="Y35" s="21"/>
      <c r="Z35" s="13" t="n">
        <f aca="false">SUM(V35:Y35)</f>
        <v>0</v>
      </c>
      <c r="AA35" s="19" t="s">
        <v>11</v>
      </c>
      <c r="AB35" s="20" t="n">
        <v>6</v>
      </c>
      <c r="AC35" s="21" t="s">
        <v>12</v>
      </c>
      <c r="AD35" s="22" t="n">
        <v>17.4</v>
      </c>
      <c r="AE35" s="20" t="n">
        <v>1.27</v>
      </c>
      <c r="AF35" s="20"/>
      <c r="AG35" s="20" t="n">
        <v>6</v>
      </c>
      <c r="AH35" s="20" t="n">
        <v>0</v>
      </c>
      <c r="AI35" s="20"/>
      <c r="AJ35" s="20"/>
      <c r="AK35" s="20"/>
      <c r="AL35" s="21"/>
      <c r="AM35" s="13" t="n">
        <f aca="false">SUM(AI35:AL35)</f>
        <v>0</v>
      </c>
    </row>
    <row r="36" customFormat="false" ht="15" hidden="false" customHeight="false" outlineLevel="0" collapsed="false">
      <c r="A36" s="19" t="s">
        <v>8</v>
      </c>
      <c r="B36" s="20" t="n">
        <v>6</v>
      </c>
      <c r="C36" s="21" t="s">
        <v>14</v>
      </c>
      <c r="D36" s="22" t="n">
        <v>16</v>
      </c>
      <c r="E36" s="20" t="n">
        <v>0.94</v>
      </c>
      <c r="F36" s="20"/>
      <c r="G36" s="20" t="n">
        <v>1</v>
      </c>
      <c r="H36" s="20" t="n">
        <v>5</v>
      </c>
      <c r="I36" s="20"/>
      <c r="J36" s="20"/>
      <c r="K36" s="20"/>
      <c r="L36" s="21"/>
      <c r="M36" s="13" t="n">
        <f aca="false">SUM(I36:L36)</f>
        <v>0</v>
      </c>
      <c r="N36" s="9" t="s">
        <v>10</v>
      </c>
      <c r="O36" s="20" t="n">
        <v>6</v>
      </c>
      <c r="P36" s="21" t="s">
        <v>14</v>
      </c>
      <c r="Q36" s="22" t="n">
        <v>18</v>
      </c>
      <c r="R36" s="20" t="n">
        <v>1.31</v>
      </c>
      <c r="S36" s="20"/>
      <c r="T36" s="20" t="n">
        <v>3</v>
      </c>
      <c r="U36" s="20" t="n">
        <v>3</v>
      </c>
      <c r="V36" s="20"/>
      <c r="W36" s="20"/>
      <c r="X36" s="20"/>
      <c r="Y36" s="21"/>
      <c r="Z36" s="13" t="n">
        <f aca="false">SUM(V36:Y36)</f>
        <v>0</v>
      </c>
      <c r="AA36" s="19" t="s">
        <v>11</v>
      </c>
      <c r="AB36" s="20" t="n">
        <v>6</v>
      </c>
      <c r="AC36" s="21" t="s">
        <v>14</v>
      </c>
      <c r="AD36" s="22" t="n">
        <v>16.7</v>
      </c>
      <c r="AE36" s="20" t="n">
        <v>1.23</v>
      </c>
      <c r="AF36" s="20"/>
      <c r="AG36" s="20" t="n">
        <v>6</v>
      </c>
      <c r="AH36" s="20" t="n">
        <v>0</v>
      </c>
      <c r="AI36" s="20"/>
      <c r="AJ36" s="20"/>
      <c r="AK36" s="20"/>
      <c r="AL36" s="21"/>
      <c r="AM36" s="13" t="n">
        <f aca="false">SUM(AI36:AL36)</f>
        <v>0</v>
      </c>
    </row>
    <row r="37" customFormat="false" ht="15" hidden="false" customHeight="false" outlineLevel="0" collapsed="false">
      <c r="A37" s="62" t="s">
        <v>8</v>
      </c>
      <c r="B37" s="31" t="n">
        <v>6</v>
      </c>
      <c r="C37" s="32" t="s">
        <v>16</v>
      </c>
      <c r="D37" s="33" t="n">
        <v>20.8</v>
      </c>
      <c r="E37" s="31" t="n">
        <v>1.82</v>
      </c>
      <c r="F37" s="31"/>
      <c r="G37" s="31" t="n">
        <v>0</v>
      </c>
      <c r="H37" s="31" t="n">
        <v>6</v>
      </c>
      <c r="I37" s="31"/>
      <c r="J37" s="31"/>
      <c r="K37" s="31"/>
      <c r="L37" s="32"/>
      <c r="M37" s="13" t="n">
        <f aca="false">SUM(I37:L37)</f>
        <v>0</v>
      </c>
      <c r="N37" s="30" t="s">
        <v>10</v>
      </c>
      <c r="O37" s="31" t="n">
        <v>6</v>
      </c>
      <c r="P37" s="32" t="s">
        <v>16</v>
      </c>
      <c r="Q37" s="33" t="n">
        <v>17.6</v>
      </c>
      <c r="R37" s="31" t="n">
        <v>1.34</v>
      </c>
      <c r="S37" s="31"/>
      <c r="T37" s="31" t="n">
        <v>3</v>
      </c>
      <c r="U37" s="31" t="n">
        <v>3</v>
      </c>
      <c r="V37" s="31"/>
      <c r="W37" s="31"/>
      <c r="X37" s="31"/>
      <c r="Y37" s="32"/>
      <c r="Z37" s="13" t="n">
        <f aca="false">SUM(V37:Y37)</f>
        <v>0</v>
      </c>
      <c r="AA37" s="26" t="s">
        <v>11</v>
      </c>
      <c r="AB37" s="27" t="n">
        <v>6</v>
      </c>
      <c r="AC37" s="28" t="s">
        <v>16</v>
      </c>
      <c r="AD37" s="29" t="n">
        <v>16.7</v>
      </c>
      <c r="AE37" s="27" t="n">
        <v>1.27</v>
      </c>
      <c r="AF37" s="27"/>
      <c r="AG37" s="27" t="n">
        <v>5</v>
      </c>
      <c r="AH37" s="27" t="n">
        <v>1</v>
      </c>
      <c r="AI37" s="27"/>
      <c r="AJ37" s="27"/>
      <c r="AK37" s="27"/>
      <c r="AL37" s="28"/>
      <c r="AM37" s="13" t="n">
        <f aca="false">SUM(AI37:AL37)</f>
        <v>0</v>
      </c>
    </row>
    <row r="38" customFormat="false" ht="15" hidden="false" customHeight="false" outlineLevel="0" collapsed="false">
      <c r="A38" s="34" t="s">
        <v>8</v>
      </c>
      <c r="B38" s="35" t="n">
        <v>12</v>
      </c>
      <c r="C38" s="36" t="s">
        <v>9</v>
      </c>
      <c r="D38" s="39" t="n">
        <v>20.8</v>
      </c>
      <c r="E38" s="35" t="n">
        <v>1.82</v>
      </c>
      <c r="F38" s="35"/>
      <c r="G38" s="35" t="n">
        <v>4</v>
      </c>
      <c r="H38" s="35" t="n">
        <v>8</v>
      </c>
      <c r="I38" s="35"/>
      <c r="J38" s="35"/>
      <c r="K38" s="35"/>
      <c r="L38" s="36"/>
      <c r="M38" s="13" t="n">
        <f aca="false">SUM(I38:L38)</f>
        <v>0</v>
      </c>
      <c r="N38" s="63" t="s">
        <v>10</v>
      </c>
      <c r="O38" s="64" t="n">
        <v>12</v>
      </c>
      <c r="P38" s="65" t="s">
        <v>9</v>
      </c>
      <c r="Q38" s="66" t="n">
        <v>18.4</v>
      </c>
      <c r="R38" s="64" t="n">
        <v>1.55</v>
      </c>
      <c r="S38" s="64"/>
      <c r="T38" s="64" t="n">
        <v>10</v>
      </c>
      <c r="U38" s="64" t="n">
        <v>2</v>
      </c>
      <c r="V38" s="64"/>
      <c r="W38" s="64"/>
      <c r="X38" s="64"/>
      <c r="Y38" s="65"/>
      <c r="Z38" s="13" t="n">
        <f aca="false">SUM(V38:Y38)</f>
        <v>0</v>
      </c>
      <c r="AA38" s="40" t="s">
        <v>11</v>
      </c>
      <c r="AB38" s="41" t="n">
        <v>12</v>
      </c>
      <c r="AC38" s="42" t="s">
        <v>9</v>
      </c>
      <c r="AD38" s="43" t="n">
        <v>18.1</v>
      </c>
      <c r="AE38" s="41" t="n">
        <v>1.54</v>
      </c>
      <c r="AF38" s="41" t="s">
        <v>15</v>
      </c>
      <c r="AG38" s="41" t="n">
        <v>12</v>
      </c>
      <c r="AH38" s="41" t="n">
        <v>0</v>
      </c>
      <c r="AI38" s="41"/>
      <c r="AJ38" s="41"/>
      <c r="AK38" s="41"/>
      <c r="AL38" s="42"/>
      <c r="AM38" s="13" t="n">
        <f aca="false">SUM(AI38:AL38)</f>
        <v>0</v>
      </c>
    </row>
    <row r="39" customFormat="false" ht="15" hidden="false" customHeight="false" outlineLevel="0" collapsed="false">
      <c r="A39" s="44" t="s">
        <v>8</v>
      </c>
      <c r="B39" s="45" t="n">
        <v>12</v>
      </c>
      <c r="C39" s="46" t="s">
        <v>12</v>
      </c>
      <c r="D39" s="47" t="n">
        <v>17.6</v>
      </c>
      <c r="E39" s="45" t="n">
        <v>1.33</v>
      </c>
      <c r="F39" s="45"/>
      <c r="G39" s="45" t="n">
        <v>5</v>
      </c>
      <c r="H39" s="45" t="n">
        <v>7</v>
      </c>
      <c r="I39" s="45"/>
      <c r="J39" s="45"/>
      <c r="K39" s="45"/>
      <c r="L39" s="46"/>
      <c r="M39" s="13" t="n">
        <f aca="false">SUM(I39:L39)</f>
        <v>0</v>
      </c>
      <c r="N39" s="67" t="s">
        <v>10</v>
      </c>
      <c r="O39" s="68" t="n">
        <v>12</v>
      </c>
      <c r="P39" s="69" t="s">
        <v>12</v>
      </c>
      <c r="Q39" s="70" t="n">
        <v>16</v>
      </c>
      <c r="R39" s="68" t="n">
        <v>1.07</v>
      </c>
      <c r="S39" s="68"/>
      <c r="T39" s="68" t="n">
        <v>10</v>
      </c>
      <c r="U39" s="68" t="n">
        <v>1</v>
      </c>
      <c r="V39" s="68" t="n">
        <v>1</v>
      </c>
      <c r="W39" s="68"/>
      <c r="X39" s="68"/>
      <c r="Y39" s="69"/>
      <c r="Z39" s="13" t="n">
        <f aca="false">SUM(V39:Y39)</f>
        <v>1</v>
      </c>
      <c r="AA39" s="44" t="s">
        <v>11</v>
      </c>
      <c r="AB39" s="45" t="n">
        <v>12</v>
      </c>
      <c r="AC39" s="46" t="s">
        <v>12</v>
      </c>
      <c r="AD39" s="47" t="n">
        <v>17.6</v>
      </c>
      <c r="AE39" s="45" t="n">
        <v>1.43</v>
      </c>
      <c r="AF39" s="45"/>
      <c r="AG39" s="45" t="n">
        <v>12</v>
      </c>
      <c r="AH39" s="45" t="n">
        <v>0</v>
      </c>
      <c r="AI39" s="45"/>
      <c r="AJ39" s="45"/>
      <c r="AK39" s="45"/>
      <c r="AL39" s="46"/>
      <c r="AM39" s="13" t="n">
        <f aca="false">SUM(AI39:AL39)</f>
        <v>0</v>
      </c>
    </row>
    <row r="40" customFormat="false" ht="15" hidden="false" customHeight="false" outlineLevel="0" collapsed="false">
      <c r="A40" s="44" t="s">
        <v>8</v>
      </c>
      <c r="B40" s="45" t="n">
        <v>12</v>
      </c>
      <c r="C40" s="46" t="s">
        <v>14</v>
      </c>
      <c r="D40" s="47" t="n">
        <v>17.2</v>
      </c>
      <c r="E40" s="45" t="n">
        <v>1.25</v>
      </c>
      <c r="F40" s="45"/>
      <c r="G40" s="45" t="n">
        <v>4</v>
      </c>
      <c r="H40" s="45" t="n">
        <v>7</v>
      </c>
      <c r="I40" s="45"/>
      <c r="J40" s="45"/>
      <c r="K40" s="45"/>
      <c r="L40" s="46" t="n">
        <v>1</v>
      </c>
      <c r="M40" s="13" t="n">
        <f aca="false">SUM(I40:L40)</f>
        <v>1</v>
      </c>
      <c r="N40" s="67" t="s">
        <v>10</v>
      </c>
      <c r="O40" s="68" t="n">
        <v>12</v>
      </c>
      <c r="P40" s="69" t="s">
        <v>14</v>
      </c>
      <c r="Q40" s="70" t="n">
        <v>17.3</v>
      </c>
      <c r="R40" s="68" t="n">
        <v>1.9</v>
      </c>
      <c r="S40" s="68"/>
      <c r="T40" s="68" t="n">
        <v>8</v>
      </c>
      <c r="U40" s="68" t="n">
        <v>3</v>
      </c>
      <c r="V40" s="68"/>
      <c r="W40" s="68"/>
      <c r="X40" s="68"/>
      <c r="Y40" s="69" t="n">
        <v>1</v>
      </c>
      <c r="Z40" s="13" t="n">
        <f aca="false">SUM(V40:Y40)</f>
        <v>1</v>
      </c>
      <c r="AA40" s="44" t="s">
        <v>11</v>
      </c>
      <c r="AB40" s="45" t="n">
        <v>12</v>
      </c>
      <c r="AC40" s="46" t="s">
        <v>14</v>
      </c>
      <c r="AD40" s="47" t="n">
        <v>17</v>
      </c>
      <c r="AE40" s="45" t="n">
        <v>1.32</v>
      </c>
      <c r="AF40" s="45"/>
      <c r="AG40" s="45" t="n">
        <v>10</v>
      </c>
      <c r="AH40" s="45" t="n">
        <v>2</v>
      </c>
      <c r="AI40" s="45"/>
      <c r="AJ40" s="45"/>
      <c r="AK40" s="45"/>
      <c r="AL40" s="46"/>
      <c r="AM40" s="13" t="n">
        <f aca="false">SUM(AI40:AL40)</f>
        <v>0</v>
      </c>
    </row>
    <row r="41" customFormat="false" ht="15" hidden="false" customHeight="false" outlineLevel="0" collapsed="false">
      <c r="A41" s="44" t="s">
        <v>8</v>
      </c>
      <c r="B41" s="45" t="n">
        <v>12</v>
      </c>
      <c r="C41" s="46" t="s">
        <v>16</v>
      </c>
      <c r="D41" s="47" t="n">
        <v>16</v>
      </c>
      <c r="E41" s="45" t="n">
        <v>1.2</v>
      </c>
      <c r="F41" s="45"/>
      <c r="G41" s="45" t="n">
        <v>8</v>
      </c>
      <c r="H41" s="45" t="n">
        <v>4</v>
      </c>
      <c r="I41" s="45"/>
      <c r="J41" s="45"/>
      <c r="K41" s="45"/>
      <c r="L41" s="46"/>
      <c r="M41" s="13" t="n">
        <f aca="false">SUM(I41:L41)</f>
        <v>0</v>
      </c>
      <c r="N41" s="67" t="s">
        <v>10</v>
      </c>
      <c r="O41" s="68" t="n">
        <v>12</v>
      </c>
      <c r="P41" s="69" t="s">
        <v>16</v>
      </c>
      <c r="Q41" s="70" t="n">
        <v>17.4</v>
      </c>
      <c r="R41" s="68" t="n">
        <v>1.29</v>
      </c>
      <c r="S41" s="68"/>
      <c r="T41" s="68" t="n">
        <v>11</v>
      </c>
      <c r="U41" s="68" t="n">
        <v>1</v>
      </c>
      <c r="V41" s="68"/>
      <c r="W41" s="68"/>
      <c r="X41" s="68"/>
      <c r="Y41" s="69"/>
      <c r="Z41" s="13" t="n">
        <f aca="false">SUM(V41:Y41)</f>
        <v>0</v>
      </c>
      <c r="AA41" s="44" t="s">
        <v>11</v>
      </c>
      <c r="AB41" s="45" t="n">
        <v>12</v>
      </c>
      <c r="AC41" s="46" t="s">
        <v>16</v>
      </c>
      <c r="AD41" s="47" t="n">
        <v>16</v>
      </c>
      <c r="AE41" s="45" t="n">
        <v>1.1</v>
      </c>
      <c r="AF41" s="45"/>
      <c r="AG41" s="45" t="n">
        <v>11</v>
      </c>
      <c r="AH41" s="45" t="n">
        <v>1</v>
      </c>
      <c r="AI41" s="45"/>
      <c r="AJ41" s="45"/>
      <c r="AK41" s="45"/>
      <c r="AL41" s="46"/>
      <c r="AM41" s="13" t="n">
        <f aca="false">SUM(AI41:AL41)</f>
        <v>0</v>
      </c>
    </row>
    <row r="42" customFormat="false" ht="15" hidden="false" customHeight="false" outlineLevel="0" collapsed="false">
      <c r="A42" s="44" t="s">
        <v>8</v>
      </c>
      <c r="B42" s="45" t="n">
        <v>12</v>
      </c>
      <c r="C42" s="46" t="s">
        <v>9</v>
      </c>
      <c r="D42" s="47" t="n">
        <v>18</v>
      </c>
      <c r="E42" s="45" t="n">
        <v>1.4</v>
      </c>
      <c r="F42" s="45"/>
      <c r="G42" s="45" t="n">
        <v>3</v>
      </c>
      <c r="H42" s="45" t="n">
        <v>8</v>
      </c>
      <c r="I42" s="45" t="n">
        <v>1</v>
      </c>
      <c r="J42" s="45"/>
      <c r="K42" s="45"/>
      <c r="L42" s="46"/>
      <c r="M42" s="13" t="n">
        <f aca="false">SUM(I42:L42)</f>
        <v>1</v>
      </c>
      <c r="N42" s="67" t="s">
        <v>10</v>
      </c>
      <c r="O42" s="68" t="n">
        <v>12</v>
      </c>
      <c r="P42" s="69" t="s">
        <v>9</v>
      </c>
      <c r="Q42" s="70" t="n">
        <v>18.4</v>
      </c>
      <c r="R42" s="68" t="n">
        <v>1.51</v>
      </c>
      <c r="S42" s="68"/>
      <c r="T42" s="68" t="n">
        <v>7</v>
      </c>
      <c r="U42" s="68" t="n">
        <v>5</v>
      </c>
      <c r="V42" s="68"/>
      <c r="W42" s="68"/>
      <c r="X42" s="68"/>
      <c r="Y42" s="69"/>
      <c r="Z42" s="13" t="n">
        <f aca="false">SUM(V42:Y42)</f>
        <v>0</v>
      </c>
      <c r="AA42" s="44" t="s">
        <v>11</v>
      </c>
      <c r="AB42" s="45" t="n">
        <v>12</v>
      </c>
      <c r="AC42" s="46" t="s">
        <v>9</v>
      </c>
      <c r="AD42" s="47" t="n">
        <v>16.6</v>
      </c>
      <c r="AE42" s="45" t="n">
        <v>1.23</v>
      </c>
      <c r="AF42" s="45"/>
      <c r="AG42" s="45" t="n">
        <v>12</v>
      </c>
      <c r="AH42" s="45" t="n">
        <v>0</v>
      </c>
      <c r="AI42" s="45"/>
      <c r="AJ42" s="45"/>
      <c r="AK42" s="45"/>
      <c r="AL42" s="46"/>
      <c r="AM42" s="13" t="n">
        <f aca="false">SUM(AI42:AL42)</f>
        <v>0</v>
      </c>
    </row>
    <row r="43" customFormat="false" ht="15" hidden="false" customHeight="false" outlineLevel="0" collapsed="false">
      <c r="A43" s="44" t="s">
        <v>8</v>
      </c>
      <c r="B43" s="45" t="n">
        <v>12</v>
      </c>
      <c r="C43" s="46" t="s">
        <v>12</v>
      </c>
      <c r="D43" s="47" t="n">
        <v>17</v>
      </c>
      <c r="E43" s="45" t="n">
        <v>1.19</v>
      </c>
      <c r="F43" s="45"/>
      <c r="G43" s="45" t="n">
        <v>5</v>
      </c>
      <c r="H43" s="45" t="n">
        <v>7</v>
      </c>
      <c r="I43" s="45"/>
      <c r="J43" s="45"/>
      <c r="K43" s="45"/>
      <c r="L43" s="46"/>
      <c r="M43" s="13" t="n">
        <f aca="false">SUM(I43:L43)</f>
        <v>0</v>
      </c>
      <c r="N43" s="67" t="s">
        <v>10</v>
      </c>
      <c r="O43" s="68" t="n">
        <v>12</v>
      </c>
      <c r="P43" s="69" t="s">
        <v>12</v>
      </c>
      <c r="Q43" s="70" t="n">
        <v>18.1</v>
      </c>
      <c r="R43" s="68" t="n">
        <v>1.45</v>
      </c>
      <c r="S43" s="68"/>
      <c r="T43" s="68" t="n">
        <v>9</v>
      </c>
      <c r="U43" s="68" t="n">
        <v>3</v>
      </c>
      <c r="V43" s="68"/>
      <c r="W43" s="68"/>
      <c r="X43" s="68"/>
      <c r="Y43" s="69"/>
      <c r="Z43" s="13" t="n">
        <f aca="false">SUM(V43:Y43)</f>
        <v>0</v>
      </c>
      <c r="AA43" s="44" t="s">
        <v>11</v>
      </c>
      <c r="AB43" s="45" t="n">
        <v>12</v>
      </c>
      <c r="AC43" s="46" t="s">
        <v>12</v>
      </c>
      <c r="AD43" s="47" t="n">
        <v>16.8</v>
      </c>
      <c r="AE43" s="45" t="n">
        <v>1.32</v>
      </c>
      <c r="AF43" s="45"/>
      <c r="AG43" s="45" t="n">
        <v>11</v>
      </c>
      <c r="AH43" s="45" t="n">
        <v>1</v>
      </c>
      <c r="AI43" s="45"/>
      <c r="AJ43" s="45"/>
      <c r="AK43" s="45"/>
      <c r="AL43" s="46"/>
      <c r="AM43" s="13" t="n">
        <f aca="false">SUM(AI43:AL43)</f>
        <v>0</v>
      </c>
    </row>
    <row r="44" customFormat="false" ht="15" hidden="false" customHeight="false" outlineLevel="0" collapsed="false">
      <c r="A44" s="44" t="s">
        <v>8</v>
      </c>
      <c r="B44" s="45" t="n">
        <v>12</v>
      </c>
      <c r="C44" s="46" t="s">
        <v>14</v>
      </c>
      <c r="D44" s="47" t="n">
        <v>17.6</v>
      </c>
      <c r="E44" s="45" t="n">
        <v>1.38</v>
      </c>
      <c r="F44" s="45"/>
      <c r="G44" s="45" t="n">
        <v>6</v>
      </c>
      <c r="H44" s="45" t="n">
        <v>5</v>
      </c>
      <c r="I44" s="45" t="n">
        <v>1</v>
      </c>
      <c r="J44" s="45"/>
      <c r="K44" s="45"/>
      <c r="L44" s="46"/>
      <c r="M44" s="13" t="n">
        <f aca="false">SUM(I44:L44)</f>
        <v>1</v>
      </c>
      <c r="N44" s="67" t="s">
        <v>10</v>
      </c>
      <c r="O44" s="68" t="n">
        <v>12</v>
      </c>
      <c r="P44" s="69" t="s">
        <v>14</v>
      </c>
      <c r="Q44" s="70" t="n">
        <v>16.1</v>
      </c>
      <c r="R44" s="68" t="n">
        <v>1.04</v>
      </c>
      <c r="S44" s="68"/>
      <c r="T44" s="68" t="n">
        <v>9</v>
      </c>
      <c r="U44" s="68" t="n">
        <v>2</v>
      </c>
      <c r="V44" s="68" t="n">
        <v>1</v>
      </c>
      <c r="W44" s="68"/>
      <c r="X44" s="68"/>
      <c r="Y44" s="69"/>
      <c r="Z44" s="13" t="n">
        <f aca="false">SUM(V44:Y44)</f>
        <v>1</v>
      </c>
      <c r="AA44" s="44" t="s">
        <v>11</v>
      </c>
      <c r="AB44" s="45" t="n">
        <v>12</v>
      </c>
      <c r="AC44" s="46" t="s">
        <v>14</v>
      </c>
      <c r="AD44" s="47" t="n">
        <v>20.1</v>
      </c>
      <c r="AE44" s="45" t="n">
        <v>2.07</v>
      </c>
      <c r="AF44" s="45"/>
      <c r="AG44" s="45" t="n">
        <v>8</v>
      </c>
      <c r="AH44" s="45" t="n">
        <v>2</v>
      </c>
      <c r="AI44" s="45"/>
      <c r="AJ44" s="45"/>
      <c r="AK44" s="45" t="n">
        <v>2</v>
      </c>
      <c r="AL44" s="46"/>
      <c r="AM44" s="13" t="n">
        <f aca="false">SUM(AI44:AL44)</f>
        <v>2</v>
      </c>
    </row>
    <row r="45" customFormat="false" ht="15" hidden="false" customHeight="false" outlineLevel="0" collapsed="false">
      <c r="A45" s="44" t="s">
        <v>8</v>
      </c>
      <c r="B45" s="45" t="n">
        <v>12</v>
      </c>
      <c r="C45" s="46" t="s">
        <v>16</v>
      </c>
      <c r="D45" s="47" t="n">
        <v>17.3</v>
      </c>
      <c r="E45" s="45" t="n">
        <v>1.17</v>
      </c>
      <c r="F45" s="45"/>
      <c r="G45" s="45" t="n">
        <v>2</v>
      </c>
      <c r="H45" s="45" t="n">
        <v>9</v>
      </c>
      <c r="I45" s="45"/>
      <c r="J45" s="45"/>
      <c r="K45" s="45"/>
      <c r="L45" s="46" t="n">
        <v>1</v>
      </c>
      <c r="M45" s="13" t="n">
        <f aca="false">SUM(I45:L45)</f>
        <v>1</v>
      </c>
      <c r="N45" s="67" t="s">
        <v>10</v>
      </c>
      <c r="O45" s="68" t="n">
        <v>12</v>
      </c>
      <c r="P45" s="69" t="s">
        <v>16</v>
      </c>
      <c r="Q45" s="70" t="n">
        <v>20.6</v>
      </c>
      <c r="R45" s="68" t="n">
        <v>2.1</v>
      </c>
      <c r="S45" s="68"/>
      <c r="T45" s="68" t="n">
        <v>8</v>
      </c>
      <c r="U45" s="68" t="n">
        <v>4</v>
      </c>
      <c r="V45" s="68"/>
      <c r="W45" s="68"/>
      <c r="X45" s="68"/>
      <c r="Y45" s="69"/>
      <c r="Z45" s="13" t="n">
        <f aca="false">SUM(V45:Y45)</f>
        <v>0</v>
      </c>
      <c r="AA45" s="44" t="s">
        <v>11</v>
      </c>
      <c r="AB45" s="45" t="n">
        <v>12</v>
      </c>
      <c r="AC45" s="46" t="s">
        <v>16</v>
      </c>
      <c r="AD45" s="47" t="n">
        <v>19.7</v>
      </c>
      <c r="AE45" s="45" t="n">
        <v>1.84</v>
      </c>
      <c r="AF45" s="45"/>
      <c r="AG45" s="45" t="n">
        <v>11</v>
      </c>
      <c r="AH45" s="45" t="n">
        <v>1</v>
      </c>
      <c r="AI45" s="45"/>
      <c r="AJ45" s="45"/>
      <c r="AK45" s="45"/>
      <c r="AL45" s="46"/>
      <c r="AM45" s="13" t="n">
        <f aca="false">SUM(AI45:AL45)</f>
        <v>0</v>
      </c>
    </row>
    <row r="46" customFormat="false" ht="15" hidden="false" customHeight="false" outlineLevel="0" collapsed="false">
      <c r="A46" s="44" t="s">
        <v>8</v>
      </c>
      <c r="B46" s="45" t="n">
        <v>12</v>
      </c>
      <c r="C46" s="46" t="s">
        <v>9</v>
      </c>
      <c r="D46" s="47" t="n">
        <v>18</v>
      </c>
      <c r="E46" s="45" t="n">
        <v>1.33</v>
      </c>
      <c r="F46" s="45"/>
      <c r="G46" s="45" t="n">
        <v>4</v>
      </c>
      <c r="H46" s="45" t="n">
        <v>8</v>
      </c>
      <c r="I46" s="45"/>
      <c r="J46" s="45"/>
      <c r="K46" s="45"/>
      <c r="L46" s="46"/>
      <c r="M46" s="13" t="n">
        <f aca="false">SUM(I46:L46)</f>
        <v>0</v>
      </c>
      <c r="N46" s="67" t="s">
        <v>10</v>
      </c>
      <c r="O46" s="68" t="n">
        <v>12</v>
      </c>
      <c r="P46" s="69" t="s">
        <v>9</v>
      </c>
      <c r="Q46" s="70" t="n">
        <v>17.9</v>
      </c>
      <c r="R46" s="68" t="n">
        <v>1.18</v>
      </c>
      <c r="S46" s="68"/>
      <c r="T46" s="68" t="n">
        <v>9</v>
      </c>
      <c r="U46" s="68" t="n">
        <v>3</v>
      </c>
      <c r="V46" s="68"/>
      <c r="W46" s="68"/>
      <c r="X46" s="68"/>
      <c r="Y46" s="69"/>
      <c r="Z46" s="13" t="n">
        <f aca="false">SUM(V46:Y46)</f>
        <v>0</v>
      </c>
      <c r="AA46" s="44" t="s">
        <v>11</v>
      </c>
      <c r="AB46" s="45" t="n">
        <v>12</v>
      </c>
      <c r="AC46" s="46" t="s">
        <v>9</v>
      </c>
      <c r="AD46" s="47" t="n">
        <v>16.6</v>
      </c>
      <c r="AE46" s="45" t="n">
        <v>1.09</v>
      </c>
      <c r="AF46" s="45"/>
      <c r="AG46" s="45" t="n">
        <v>12</v>
      </c>
      <c r="AH46" s="45" t="n">
        <v>0</v>
      </c>
      <c r="AI46" s="45"/>
      <c r="AJ46" s="45"/>
      <c r="AK46" s="45"/>
      <c r="AL46" s="46"/>
      <c r="AM46" s="13" t="n">
        <f aca="false">SUM(AI46:AL46)</f>
        <v>0</v>
      </c>
    </row>
    <row r="47" customFormat="false" ht="15" hidden="false" customHeight="false" outlineLevel="0" collapsed="false">
      <c r="A47" s="44" t="s">
        <v>8</v>
      </c>
      <c r="B47" s="45" t="n">
        <v>12</v>
      </c>
      <c r="C47" s="46" t="s">
        <v>12</v>
      </c>
      <c r="D47" s="47" t="n">
        <v>20.7</v>
      </c>
      <c r="E47" s="45" t="n">
        <v>1.98</v>
      </c>
      <c r="F47" s="45"/>
      <c r="G47" s="45" t="n">
        <v>2</v>
      </c>
      <c r="H47" s="45" t="n">
        <v>10</v>
      </c>
      <c r="I47" s="45"/>
      <c r="J47" s="45"/>
      <c r="K47" s="45"/>
      <c r="L47" s="46"/>
      <c r="M47" s="13" t="n">
        <f aca="false">SUM(I47:L47)</f>
        <v>0</v>
      </c>
      <c r="N47" s="67" t="s">
        <v>10</v>
      </c>
      <c r="O47" s="68" t="n">
        <v>12</v>
      </c>
      <c r="P47" s="69" t="s">
        <v>12</v>
      </c>
      <c r="Q47" s="70" t="n">
        <v>16</v>
      </c>
      <c r="R47" s="68" t="n">
        <v>1.05</v>
      </c>
      <c r="S47" s="68"/>
      <c r="T47" s="68" t="n">
        <v>10</v>
      </c>
      <c r="U47" s="68" t="n">
        <v>2</v>
      </c>
      <c r="V47" s="68"/>
      <c r="W47" s="68"/>
      <c r="X47" s="68"/>
      <c r="Y47" s="69"/>
      <c r="Z47" s="13" t="n">
        <f aca="false">SUM(V47:Y47)</f>
        <v>0</v>
      </c>
      <c r="AA47" s="44" t="s">
        <v>11</v>
      </c>
      <c r="AB47" s="45" t="n">
        <v>12</v>
      </c>
      <c r="AC47" s="46" t="s">
        <v>12</v>
      </c>
      <c r="AD47" s="47" t="n">
        <v>18.2</v>
      </c>
      <c r="AE47" s="45" t="n">
        <v>16.3</v>
      </c>
      <c r="AF47" s="45"/>
      <c r="AG47" s="45" t="n">
        <v>12</v>
      </c>
      <c r="AH47" s="45" t="n">
        <v>0</v>
      </c>
      <c r="AI47" s="45"/>
      <c r="AJ47" s="45"/>
      <c r="AK47" s="45"/>
      <c r="AL47" s="46"/>
      <c r="AM47" s="13" t="n">
        <f aca="false">SUM(AI47:AL47)</f>
        <v>0</v>
      </c>
    </row>
    <row r="48" customFormat="false" ht="15" hidden="false" customHeight="false" outlineLevel="0" collapsed="false">
      <c r="A48" s="44" t="s">
        <v>8</v>
      </c>
      <c r="B48" s="45" t="n">
        <v>12</v>
      </c>
      <c r="C48" s="46" t="s">
        <v>14</v>
      </c>
      <c r="D48" s="47" t="n">
        <v>17.9</v>
      </c>
      <c r="E48" s="45" t="n">
        <v>1.42</v>
      </c>
      <c r="F48" s="45"/>
      <c r="G48" s="45" t="n">
        <v>5</v>
      </c>
      <c r="H48" s="45" t="n">
        <v>7</v>
      </c>
      <c r="I48" s="45"/>
      <c r="J48" s="45"/>
      <c r="K48" s="45"/>
      <c r="L48" s="46"/>
      <c r="M48" s="13" t="n">
        <f aca="false">SUM(I48:L48)</f>
        <v>0</v>
      </c>
      <c r="N48" s="67" t="s">
        <v>10</v>
      </c>
      <c r="O48" s="68" t="n">
        <v>12</v>
      </c>
      <c r="P48" s="69" t="s">
        <v>14</v>
      </c>
      <c r="Q48" s="70" t="n">
        <v>20.2</v>
      </c>
      <c r="R48" s="68" t="n">
        <v>1.83</v>
      </c>
      <c r="S48" s="68"/>
      <c r="T48" s="68" t="n">
        <v>10</v>
      </c>
      <c r="U48" s="68" t="n">
        <v>2</v>
      </c>
      <c r="V48" s="68"/>
      <c r="W48" s="68"/>
      <c r="X48" s="68"/>
      <c r="Y48" s="69"/>
      <c r="Z48" s="13" t="n">
        <f aca="false">SUM(V48:Y48)</f>
        <v>0</v>
      </c>
      <c r="AA48" s="44" t="s">
        <v>11</v>
      </c>
      <c r="AB48" s="45" t="n">
        <v>12</v>
      </c>
      <c r="AC48" s="46" t="s">
        <v>14</v>
      </c>
      <c r="AD48" s="47" t="n">
        <v>16.9</v>
      </c>
      <c r="AE48" s="45" t="n">
        <v>1.31</v>
      </c>
      <c r="AF48" s="45"/>
      <c r="AG48" s="45" t="n">
        <v>10</v>
      </c>
      <c r="AH48" s="45" t="n">
        <v>2</v>
      </c>
      <c r="AI48" s="45"/>
      <c r="AJ48" s="45"/>
      <c r="AK48" s="45"/>
      <c r="AL48" s="46"/>
      <c r="AM48" s="13" t="n">
        <f aca="false">SUM(AI48:AL48)</f>
        <v>0</v>
      </c>
    </row>
    <row r="49" customFormat="false" ht="15" hidden="false" customHeight="false" outlineLevel="0" collapsed="false">
      <c r="A49" s="55" t="s">
        <v>8</v>
      </c>
      <c r="B49" s="56" t="n">
        <v>12</v>
      </c>
      <c r="C49" s="57" t="s">
        <v>16</v>
      </c>
      <c r="D49" s="58" t="n">
        <v>20.1</v>
      </c>
      <c r="E49" s="56" t="n">
        <v>1.7</v>
      </c>
      <c r="F49" s="56" t="s">
        <v>15</v>
      </c>
      <c r="G49" s="56" t="n">
        <v>3</v>
      </c>
      <c r="H49" s="56" t="n">
        <v>9</v>
      </c>
      <c r="I49" s="56"/>
      <c r="J49" s="56"/>
      <c r="K49" s="56"/>
      <c r="L49" s="57"/>
      <c r="M49" s="13" t="n">
        <f aca="false">SUM(I49:L49)</f>
        <v>0</v>
      </c>
      <c r="N49" s="71" t="s">
        <v>10</v>
      </c>
      <c r="O49" s="72" t="n">
        <v>12</v>
      </c>
      <c r="P49" s="73" t="s">
        <v>16</v>
      </c>
      <c r="Q49" s="74" t="n">
        <v>16</v>
      </c>
      <c r="R49" s="72" t="n">
        <v>1.03</v>
      </c>
      <c r="S49" s="72"/>
      <c r="T49" s="72" t="n">
        <v>12</v>
      </c>
      <c r="U49" s="72" t="n">
        <v>0</v>
      </c>
      <c r="V49" s="72"/>
      <c r="W49" s="72"/>
      <c r="X49" s="72"/>
      <c r="Y49" s="73"/>
      <c r="Z49" s="13" t="n">
        <f aca="false">SUM(V49:Y49)</f>
        <v>0</v>
      </c>
      <c r="AA49" s="44" t="s">
        <v>11</v>
      </c>
      <c r="AB49" s="45" t="n">
        <v>12</v>
      </c>
      <c r="AC49" s="46" t="s">
        <v>16</v>
      </c>
      <c r="AD49" s="47" t="n">
        <v>16</v>
      </c>
      <c r="AE49" s="45" t="n">
        <v>1.14</v>
      </c>
      <c r="AF49" s="45"/>
      <c r="AG49" s="45" t="n">
        <v>11</v>
      </c>
      <c r="AH49" s="45" t="n">
        <v>1</v>
      </c>
      <c r="AI49" s="45"/>
      <c r="AJ49" s="45"/>
      <c r="AK49" s="45"/>
      <c r="AL49" s="46"/>
      <c r="AM49" s="13" t="n">
        <f aca="false">SUM(AI49:AL49)</f>
        <v>0</v>
      </c>
    </row>
    <row r="50" customFormat="false" ht="15" hidden="false" customHeight="false" outlineLevel="0" collapsed="false">
      <c r="A50" s="63" t="s">
        <v>8</v>
      </c>
      <c r="B50" s="35" t="n">
        <v>18</v>
      </c>
      <c r="C50" s="36" t="s">
        <v>9</v>
      </c>
      <c r="D50" s="39" t="n">
        <v>17.3</v>
      </c>
      <c r="E50" s="35" t="n">
        <v>1.3</v>
      </c>
      <c r="F50" s="35"/>
      <c r="G50" s="35" t="n">
        <v>12</v>
      </c>
      <c r="H50" s="35" t="n">
        <v>5</v>
      </c>
      <c r="I50" s="35"/>
      <c r="J50" s="35" t="n">
        <v>1</v>
      </c>
      <c r="K50" s="35"/>
      <c r="L50" s="36"/>
      <c r="M50" s="13" t="n">
        <f aca="false">SUM(I50:L50)</f>
        <v>1</v>
      </c>
      <c r="N50" s="67" t="s">
        <v>10</v>
      </c>
      <c r="O50" s="35" t="n">
        <v>18</v>
      </c>
      <c r="P50" s="69" t="s">
        <v>9</v>
      </c>
      <c r="Q50" s="75" t="n">
        <v>18.1</v>
      </c>
      <c r="R50" s="68" t="n">
        <v>1.43</v>
      </c>
      <c r="S50" s="68"/>
      <c r="T50" s="68" t="n">
        <v>8</v>
      </c>
      <c r="U50" s="68" t="n">
        <v>7</v>
      </c>
      <c r="V50" s="68"/>
      <c r="W50" s="68"/>
      <c r="X50" s="68" t="n">
        <v>2</v>
      </c>
      <c r="Y50" s="69" t="n">
        <v>1</v>
      </c>
      <c r="Z50" s="13" t="n">
        <f aca="false">SUM(V50:Y50)</f>
        <v>3</v>
      </c>
      <c r="AA50" s="76" t="s">
        <v>11</v>
      </c>
      <c r="AB50" s="68" t="n">
        <v>18</v>
      </c>
      <c r="AC50" s="69" t="s">
        <v>9</v>
      </c>
      <c r="AD50" s="70" t="n">
        <v>17.6</v>
      </c>
      <c r="AE50" s="68" t="n">
        <v>1.42</v>
      </c>
      <c r="AF50" s="68"/>
      <c r="AG50" s="68" t="n">
        <v>17</v>
      </c>
      <c r="AH50" s="68" t="n">
        <v>1</v>
      </c>
      <c r="AI50" s="68"/>
      <c r="AJ50" s="68"/>
      <c r="AK50" s="68"/>
      <c r="AL50" s="69"/>
      <c r="AM50" s="13" t="n">
        <f aca="false">SUM(AI50:AL50)</f>
        <v>0</v>
      </c>
    </row>
    <row r="51" customFormat="false" ht="15" hidden="false" customHeight="false" outlineLevel="0" collapsed="false">
      <c r="A51" s="76" t="s">
        <v>8</v>
      </c>
      <c r="B51" s="45" t="n">
        <v>18</v>
      </c>
      <c r="C51" s="46" t="s">
        <v>12</v>
      </c>
      <c r="D51" s="47" t="n">
        <v>19.6</v>
      </c>
      <c r="E51" s="45" t="n">
        <v>1.65</v>
      </c>
      <c r="F51" s="45"/>
      <c r="G51" s="45" t="n">
        <v>18</v>
      </c>
      <c r="H51" s="45" t="n">
        <v>0</v>
      </c>
      <c r="I51" s="45"/>
      <c r="J51" s="45"/>
      <c r="K51" s="45"/>
      <c r="L51" s="46"/>
      <c r="M51" s="13" t="n">
        <f aca="false">SUM(I51:L51)</f>
        <v>0</v>
      </c>
      <c r="N51" s="67" t="s">
        <v>10</v>
      </c>
      <c r="O51" s="45" t="n">
        <v>18</v>
      </c>
      <c r="P51" s="69" t="s">
        <v>12</v>
      </c>
      <c r="Q51" s="70" t="n">
        <v>20.4</v>
      </c>
      <c r="R51" s="68" t="n">
        <v>1.83</v>
      </c>
      <c r="S51" s="68"/>
      <c r="T51" s="68" t="n">
        <v>15</v>
      </c>
      <c r="U51" s="68" t="n">
        <v>3</v>
      </c>
      <c r="V51" s="68"/>
      <c r="W51" s="68"/>
      <c r="X51" s="68"/>
      <c r="Y51" s="69"/>
      <c r="Z51" s="13" t="n">
        <f aca="false">SUM(V51:Y51)</f>
        <v>0</v>
      </c>
      <c r="AA51" s="76" t="s">
        <v>11</v>
      </c>
      <c r="AB51" s="68" t="n">
        <v>18</v>
      </c>
      <c r="AC51" s="69" t="s">
        <v>12</v>
      </c>
      <c r="AD51" s="77" t="n">
        <v>16.6</v>
      </c>
      <c r="AE51" s="78" t="n">
        <v>1.27</v>
      </c>
      <c r="AF51" s="68"/>
      <c r="AG51" s="68" t="n">
        <v>18</v>
      </c>
      <c r="AH51" s="68" t="n">
        <v>0</v>
      </c>
      <c r="AI51" s="68"/>
      <c r="AJ51" s="68"/>
      <c r="AK51" s="68"/>
      <c r="AL51" s="69"/>
      <c r="AM51" s="13" t="n">
        <f aca="false">SUM(AI51:AL51)</f>
        <v>0</v>
      </c>
    </row>
    <row r="52" customFormat="false" ht="15" hidden="false" customHeight="false" outlineLevel="0" collapsed="false">
      <c r="A52" s="76" t="s">
        <v>8</v>
      </c>
      <c r="B52" s="45" t="n">
        <v>18</v>
      </c>
      <c r="C52" s="46" t="s">
        <v>14</v>
      </c>
      <c r="D52" s="47" t="n">
        <v>16.3</v>
      </c>
      <c r="E52" s="45" t="n">
        <v>0.98</v>
      </c>
      <c r="F52" s="45"/>
      <c r="G52" s="45" t="n">
        <v>12</v>
      </c>
      <c r="H52" s="45" t="n">
        <v>4</v>
      </c>
      <c r="I52" s="45"/>
      <c r="J52" s="45" t="n">
        <v>1</v>
      </c>
      <c r="K52" s="45"/>
      <c r="L52" s="46" t="n">
        <v>1</v>
      </c>
      <c r="M52" s="13" t="n">
        <f aca="false">SUM(I52:L52)</f>
        <v>2</v>
      </c>
      <c r="N52" s="67" t="s">
        <v>10</v>
      </c>
      <c r="O52" s="45" t="n">
        <v>18</v>
      </c>
      <c r="P52" s="69" t="s">
        <v>14</v>
      </c>
      <c r="Q52" s="70" t="n">
        <v>18.4</v>
      </c>
      <c r="R52" s="68" t="n">
        <v>1.58</v>
      </c>
      <c r="S52" s="68"/>
      <c r="T52" s="68" t="n">
        <v>13</v>
      </c>
      <c r="U52" s="68" t="n">
        <v>4</v>
      </c>
      <c r="V52" s="68"/>
      <c r="W52" s="68"/>
      <c r="X52" s="68"/>
      <c r="Y52" s="69" t="n">
        <v>1</v>
      </c>
      <c r="Z52" s="13" t="n">
        <f aca="false">SUM(V52:Y52)</f>
        <v>1</v>
      </c>
      <c r="AA52" s="76" t="s">
        <v>11</v>
      </c>
      <c r="AB52" s="68" t="n">
        <v>18</v>
      </c>
      <c r="AC52" s="69" t="s">
        <v>14</v>
      </c>
      <c r="AD52" s="70" t="n">
        <v>17.6</v>
      </c>
      <c r="AE52" s="79" t="n">
        <v>13881</v>
      </c>
      <c r="AF52" s="68"/>
      <c r="AG52" s="68" t="n">
        <v>14</v>
      </c>
      <c r="AH52" s="68" t="n">
        <v>4</v>
      </c>
      <c r="AI52" s="68"/>
      <c r="AJ52" s="68"/>
      <c r="AK52" s="68"/>
      <c r="AL52" s="69"/>
      <c r="AM52" s="13" t="n">
        <f aca="false">SUM(AI52:AL52)</f>
        <v>0</v>
      </c>
    </row>
    <row r="53" customFormat="false" ht="15" hidden="false" customHeight="false" outlineLevel="0" collapsed="false">
      <c r="A53" s="76" t="s">
        <v>8</v>
      </c>
      <c r="B53" s="45" t="n">
        <v>18</v>
      </c>
      <c r="C53" s="46" t="s">
        <v>16</v>
      </c>
      <c r="D53" s="47" t="n">
        <v>16</v>
      </c>
      <c r="E53" s="45" t="n">
        <v>1.04</v>
      </c>
      <c r="F53" s="45"/>
      <c r="G53" s="45" t="n">
        <v>12</v>
      </c>
      <c r="H53" s="45" t="n">
        <v>5</v>
      </c>
      <c r="I53" s="45" t="n">
        <v>1</v>
      </c>
      <c r="J53" s="45"/>
      <c r="K53" s="45"/>
      <c r="L53" s="46"/>
      <c r="M53" s="13" t="n">
        <f aca="false">SUM(I53:L53)</f>
        <v>1</v>
      </c>
      <c r="N53" s="67" t="s">
        <v>10</v>
      </c>
      <c r="O53" s="45" t="n">
        <v>18</v>
      </c>
      <c r="P53" s="69" t="s">
        <v>16</v>
      </c>
      <c r="Q53" s="70" t="n">
        <v>17.7</v>
      </c>
      <c r="R53" s="68" t="n">
        <v>1.37</v>
      </c>
      <c r="S53" s="68"/>
      <c r="T53" s="68" t="n">
        <v>14</v>
      </c>
      <c r="U53" s="68" t="n">
        <v>2</v>
      </c>
      <c r="V53" s="68" t="n">
        <v>1</v>
      </c>
      <c r="W53" s="68"/>
      <c r="X53" s="68"/>
      <c r="Y53" s="69" t="n">
        <v>1</v>
      </c>
      <c r="Z53" s="13" t="n">
        <f aca="false">SUM(V53:Y53)</f>
        <v>2</v>
      </c>
      <c r="AA53" s="76" t="s">
        <v>11</v>
      </c>
      <c r="AB53" s="68" t="n">
        <v>18</v>
      </c>
      <c r="AC53" s="69" t="s">
        <v>16</v>
      </c>
      <c r="AD53" s="70" t="n">
        <v>17.3</v>
      </c>
      <c r="AE53" s="68" t="n">
        <v>1.31</v>
      </c>
      <c r="AF53" s="68"/>
      <c r="AG53" s="68" t="n">
        <v>18</v>
      </c>
      <c r="AH53" s="68" t="n">
        <v>0</v>
      </c>
      <c r="AI53" s="68"/>
      <c r="AJ53" s="68"/>
      <c r="AK53" s="68"/>
      <c r="AL53" s="69"/>
      <c r="AM53" s="13" t="n">
        <f aca="false">SUM(AI53:AL53)</f>
        <v>0</v>
      </c>
    </row>
    <row r="54" customFormat="false" ht="15" hidden="false" customHeight="false" outlineLevel="0" collapsed="false">
      <c r="A54" s="76" t="s">
        <v>8</v>
      </c>
      <c r="B54" s="45" t="n">
        <v>18</v>
      </c>
      <c r="C54" s="46" t="s">
        <v>9</v>
      </c>
      <c r="D54" s="47" t="n">
        <v>18.4</v>
      </c>
      <c r="E54" s="45" t="n">
        <v>1.46</v>
      </c>
      <c r="F54" s="45"/>
      <c r="G54" s="45" t="n">
        <v>7</v>
      </c>
      <c r="H54" s="45" t="n">
        <v>11</v>
      </c>
      <c r="I54" s="45"/>
      <c r="J54" s="45"/>
      <c r="K54" s="45"/>
      <c r="L54" s="46"/>
      <c r="M54" s="13" t="n">
        <f aca="false">SUM(I54:L54)</f>
        <v>0</v>
      </c>
      <c r="N54" s="67" t="s">
        <v>10</v>
      </c>
      <c r="O54" s="45" t="n">
        <v>18</v>
      </c>
      <c r="P54" s="69" t="s">
        <v>9</v>
      </c>
      <c r="Q54" s="70" t="n">
        <v>16.1</v>
      </c>
      <c r="R54" s="68" t="n">
        <v>0.96</v>
      </c>
      <c r="S54" s="68"/>
      <c r="T54" s="68" t="n">
        <v>14</v>
      </c>
      <c r="U54" s="68" t="n">
        <v>2</v>
      </c>
      <c r="V54" s="68"/>
      <c r="W54" s="68"/>
      <c r="X54" s="68"/>
      <c r="Y54" s="69" t="n">
        <v>2</v>
      </c>
      <c r="Z54" s="13" t="n">
        <f aca="false">SUM(V54:Y54)</f>
        <v>2</v>
      </c>
      <c r="AA54" s="76" t="s">
        <v>11</v>
      </c>
      <c r="AB54" s="68" t="n">
        <v>18</v>
      </c>
      <c r="AC54" s="69" t="s">
        <v>9</v>
      </c>
      <c r="AD54" s="75" t="n">
        <v>17.3</v>
      </c>
      <c r="AE54" s="68" t="n">
        <v>1.39</v>
      </c>
      <c r="AF54" s="68"/>
      <c r="AG54" s="68" t="n">
        <v>15</v>
      </c>
      <c r="AH54" s="68" t="n">
        <v>2</v>
      </c>
      <c r="AI54" s="68"/>
      <c r="AJ54" s="68"/>
      <c r="AK54" s="68"/>
      <c r="AL54" s="69" t="n">
        <v>1</v>
      </c>
      <c r="AM54" s="13" t="n">
        <f aca="false">SUM(AI54:AL54)</f>
        <v>1</v>
      </c>
    </row>
    <row r="55" customFormat="false" ht="15" hidden="false" customHeight="false" outlineLevel="0" collapsed="false">
      <c r="A55" s="76" t="s">
        <v>8</v>
      </c>
      <c r="B55" s="45" t="n">
        <v>18</v>
      </c>
      <c r="C55" s="46" t="s">
        <v>12</v>
      </c>
      <c r="D55" s="47" t="n">
        <v>17.6</v>
      </c>
      <c r="E55" s="45" t="n">
        <v>1.35</v>
      </c>
      <c r="F55" s="45"/>
      <c r="G55" s="45" t="n">
        <v>12</v>
      </c>
      <c r="H55" s="45" t="n">
        <v>6</v>
      </c>
      <c r="I55" s="45"/>
      <c r="J55" s="45"/>
      <c r="K55" s="45"/>
      <c r="L55" s="46"/>
      <c r="M55" s="13" t="n">
        <f aca="false">SUM(I55:L55)</f>
        <v>0</v>
      </c>
      <c r="N55" s="67" t="s">
        <v>10</v>
      </c>
      <c r="O55" s="45" t="n">
        <v>18</v>
      </c>
      <c r="P55" s="69" t="s">
        <v>12</v>
      </c>
      <c r="Q55" s="70" t="n">
        <v>17.9</v>
      </c>
      <c r="R55" s="68" t="n">
        <v>1.32</v>
      </c>
      <c r="S55" s="68"/>
      <c r="T55" s="68" t="n">
        <v>18</v>
      </c>
      <c r="U55" s="68" t="n">
        <v>0</v>
      </c>
      <c r="V55" s="68"/>
      <c r="W55" s="68"/>
      <c r="X55" s="68"/>
      <c r="Y55" s="69"/>
      <c r="Z55" s="13" t="n">
        <f aca="false">SUM(V55:Y55)</f>
        <v>0</v>
      </c>
      <c r="AA55" s="76" t="s">
        <v>11</v>
      </c>
      <c r="AB55" s="68" t="n">
        <v>18</v>
      </c>
      <c r="AC55" s="69" t="s">
        <v>12</v>
      </c>
      <c r="AD55" s="70" t="n">
        <v>17.4</v>
      </c>
      <c r="AE55" s="68" t="n">
        <v>1.39</v>
      </c>
      <c r="AF55" s="68"/>
      <c r="AG55" s="68" t="n">
        <v>16</v>
      </c>
      <c r="AH55" s="68" t="n">
        <v>1</v>
      </c>
      <c r="AI55" s="68"/>
      <c r="AJ55" s="68"/>
      <c r="AK55" s="68"/>
      <c r="AL55" s="69" t="n">
        <v>1</v>
      </c>
      <c r="AM55" s="13" t="n">
        <f aca="false">SUM(AI55:AL55)</f>
        <v>1</v>
      </c>
    </row>
    <row r="56" customFormat="false" ht="15" hidden="false" customHeight="false" outlineLevel="0" collapsed="false">
      <c r="A56" s="76" t="s">
        <v>8</v>
      </c>
      <c r="B56" s="45" t="n">
        <v>18</v>
      </c>
      <c r="C56" s="46" t="s">
        <v>14</v>
      </c>
      <c r="D56" s="47" t="n">
        <v>16.5</v>
      </c>
      <c r="E56" s="45" t="n">
        <v>1.12</v>
      </c>
      <c r="F56" s="45"/>
      <c r="G56" s="45" t="n">
        <v>10</v>
      </c>
      <c r="H56" s="45" t="n">
        <v>5</v>
      </c>
      <c r="I56" s="45" t="n">
        <v>1</v>
      </c>
      <c r="J56" s="45" t="n">
        <v>1</v>
      </c>
      <c r="K56" s="45"/>
      <c r="L56" s="46" t="n">
        <v>1</v>
      </c>
      <c r="M56" s="13" t="n">
        <f aca="false">SUM(I56:L56)</f>
        <v>3</v>
      </c>
      <c r="N56" s="67" t="s">
        <v>10</v>
      </c>
      <c r="O56" s="45" t="n">
        <v>18</v>
      </c>
      <c r="P56" s="69" t="s">
        <v>14</v>
      </c>
      <c r="Q56" s="70" t="n">
        <v>19.9</v>
      </c>
      <c r="R56" s="68" t="n">
        <v>2</v>
      </c>
      <c r="S56" s="68"/>
      <c r="T56" s="68" t="n">
        <v>7</v>
      </c>
      <c r="U56" s="68" t="n">
        <v>11</v>
      </c>
      <c r="V56" s="68"/>
      <c r="W56" s="68"/>
      <c r="X56" s="68"/>
      <c r="Y56" s="69"/>
      <c r="Z56" s="13" t="n">
        <f aca="false">SUM(V56:Y56)</f>
        <v>0</v>
      </c>
      <c r="AA56" s="76" t="s">
        <v>11</v>
      </c>
      <c r="AB56" s="68" t="n">
        <v>18</v>
      </c>
      <c r="AC56" s="69" t="s">
        <v>14</v>
      </c>
      <c r="AD56" s="70" t="n">
        <v>17</v>
      </c>
      <c r="AE56" s="68" t="n">
        <v>1.21</v>
      </c>
      <c r="AF56" s="68"/>
      <c r="AG56" s="68" t="n">
        <v>16</v>
      </c>
      <c r="AH56" s="68" t="n">
        <v>2</v>
      </c>
      <c r="AI56" s="68"/>
      <c r="AJ56" s="68"/>
      <c r="AK56" s="68"/>
      <c r="AL56" s="69"/>
      <c r="AM56" s="13" t="n">
        <f aca="false">SUM(AI56:AL56)</f>
        <v>0</v>
      </c>
    </row>
    <row r="57" customFormat="false" ht="15" hidden="false" customHeight="false" outlineLevel="0" collapsed="false">
      <c r="A57" s="76" t="s">
        <v>8</v>
      </c>
      <c r="B57" s="45" t="n">
        <v>18</v>
      </c>
      <c r="C57" s="46" t="s">
        <v>16</v>
      </c>
      <c r="D57" s="47" t="n">
        <v>16.9</v>
      </c>
      <c r="E57" s="45" t="n">
        <v>1.1</v>
      </c>
      <c r="F57" s="45"/>
      <c r="G57" s="45" t="n">
        <v>11</v>
      </c>
      <c r="H57" s="45" t="n">
        <v>7</v>
      </c>
      <c r="I57" s="47"/>
      <c r="J57" s="45"/>
      <c r="K57" s="45"/>
      <c r="L57" s="46"/>
      <c r="M57" s="13" t="n">
        <f aca="false">SUM(I57:L57)</f>
        <v>0</v>
      </c>
      <c r="N57" s="67" t="s">
        <v>10</v>
      </c>
      <c r="O57" s="45" t="n">
        <v>18</v>
      </c>
      <c r="P57" s="69" t="s">
        <v>16</v>
      </c>
      <c r="Q57" s="70" t="n">
        <v>19.9</v>
      </c>
      <c r="R57" s="68" t="n">
        <v>1.8</v>
      </c>
      <c r="S57" s="68"/>
      <c r="T57" s="68" t="n">
        <v>13</v>
      </c>
      <c r="U57" s="68" t="n">
        <v>5</v>
      </c>
      <c r="V57" s="68"/>
      <c r="W57" s="68"/>
      <c r="X57" s="68"/>
      <c r="Y57" s="69"/>
      <c r="Z57" s="13" t="n">
        <f aca="false">SUM(V57:Y57)</f>
        <v>0</v>
      </c>
      <c r="AA57" s="76" t="s">
        <v>11</v>
      </c>
      <c r="AB57" s="68" t="n">
        <v>18</v>
      </c>
      <c r="AC57" s="69" t="s">
        <v>16</v>
      </c>
      <c r="AD57" s="70" t="n">
        <v>17.8</v>
      </c>
      <c r="AE57" s="68" t="n">
        <v>1.53</v>
      </c>
      <c r="AF57" s="68"/>
      <c r="AG57" s="68" t="n">
        <v>15</v>
      </c>
      <c r="AH57" s="68" t="n">
        <v>2</v>
      </c>
      <c r="AI57" s="68" t="n">
        <v>1</v>
      </c>
      <c r="AJ57" s="68"/>
      <c r="AK57" s="68"/>
      <c r="AL57" s="69"/>
      <c r="AM57" s="13" t="n">
        <f aca="false">SUM(AI57:AL57)</f>
        <v>1</v>
      </c>
    </row>
    <row r="58" customFormat="false" ht="15" hidden="false" customHeight="false" outlineLevel="0" collapsed="false">
      <c r="A58" s="76" t="s">
        <v>8</v>
      </c>
      <c r="B58" s="45" t="n">
        <v>18</v>
      </c>
      <c r="C58" s="46" t="s">
        <v>9</v>
      </c>
      <c r="D58" s="47" t="n">
        <v>20.3</v>
      </c>
      <c r="E58" s="45" t="n">
        <v>1.71</v>
      </c>
      <c r="F58" s="45"/>
      <c r="G58" s="45" t="n">
        <v>2</v>
      </c>
      <c r="H58" s="45" t="n">
        <v>15</v>
      </c>
      <c r="I58" s="47"/>
      <c r="J58" s="45"/>
      <c r="K58" s="45"/>
      <c r="L58" s="46" t="n">
        <v>1</v>
      </c>
      <c r="M58" s="13" t="n">
        <f aca="false">SUM(I58:L58)</f>
        <v>1</v>
      </c>
      <c r="N58" s="67" t="s">
        <v>10</v>
      </c>
      <c r="O58" s="45" t="n">
        <v>18</v>
      </c>
      <c r="P58" s="69" t="s">
        <v>9</v>
      </c>
      <c r="Q58" s="70" t="n">
        <v>17.9</v>
      </c>
      <c r="R58" s="68" t="n">
        <v>1.23</v>
      </c>
      <c r="S58" s="68"/>
      <c r="T58" s="68" t="n">
        <v>15</v>
      </c>
      <c r="U58" s="68" t="n">
        <v>3</v>
      </c>
      <c r="V58" s="68"/>
      <c r="W58" s="68"/>
      <c r="X58" s="68"/>
      <c r="Y58" s="69"/>
      <c r="Z58" s="13" t="n">
        <f aca="false">SUM(V58:Y58)</f>
        <v>0</v>
      </c>
      <c r="AA58" s="76" t="s">
        <v>11</v>
      </c>
      <c r="AB58" s="68" t="n">
        <v>18</v>
      </c>
      <c r="AC58" s="69" t="s">
        <v>9</v>
      </c>
      <c r="AD58" s="70" t="n">
        <v>18.5</v>
      </c>
      <c r="AE58" s="68" t="n">
        <v>1.78</v>
      </c>
      <c r="AF58" s="68"/>
      <c r="AG58" s="68" t="n">
        <v>18</v>
      </c>
      <c r="AH58" s="68" t="n">
        <v>0</v>
      </c>
      <c r="AI58" s="68"/>
      <c r="AJ58" s="68"/>
      <c r="AK58" s="68"/>
      <c r="AL58" s="69"/>
      <c r="AM58" s="13" t="n">
        <f aca="false">SUM(AI58:AL58)</f>
        <v>0</v>
      </c>
    </row>
    <row r="59" customFormat="false" ht="15" hidden="false" customHeight="false" outlineLevel="0" collapsed="false">
      <c r="A59" s="76" t="s">
        <v>8</v>
      </c>
      <c r="B59" s="45" t="n">
        <v>18</v>
      </c>
      <c r="C59" s="46" t="s">
        <v>12</v>
      </c>
      <c r="D59" s="47" t="n">
        <v>18</v>
      </c>
      <c r="E59" s="45" t="n">
        <v>1.3</v>
      </c>
      <c r="F59" s="45"/>
      <c r="G59" s="45" t="n">
        <v>7</v>
      </c>
      <c r="H59" s="45" t="n">
        <v>11</v>
      </c>
      <c r="I59" s="45"/>
      <c r="J59" s="45"/>
      <c r="K59" s="45"/>
      <c r="L59" s="46"/>
      <c r="M59" s="13" t="n">
        <f aca="false">SUM(I59:L59)</f>
        <v>0</v>
      </c>
      <c r="N59" s="67" t="s">
        <v>10</v>
      </c>
      <c r="O59" s="45" t="n">
        <v>18</v>
      </c>
      <c r="P59" s="69" t="s">
        <v>12</v>
      </c>
      <c r="Q59" s="70" t="n">
        <v>20.3</v>
      </c>
      <c r="R59" s="68" t="n">
        <v>1.79</v>
      </c>
      <c r="S59" s="68"/>
      <c r="T59" s="68" t="n">
        <v>13</v>
      </c>
      <c r="U59" s="68" t="n">
        <v>5</v>
      </c>
      <c r="V59" s="68"/>
      <c r="W59" s="68"/>
      <c r="X59" s="68"/>
      <c r="Y59" s="69"/>
      <c r="Z59" s="13" t="n">
        <f aca="false">SUM(V59:Y59)</f>
        <v>0</v>
      </c>
      <c r="AA59" s="76" t="s">
        <v>11</v>
      </c>
      <c r="AB59" s="68" t="n">
        <v>18</v>
      </c>
      <c r="AC59" s="69" t="s">
        <v>12</v>
      </c>
      <c r="AD59" s="70" t="n">
        <v>20.1</v>
      </c>
      <c r="AE59" s="68" t="n">
        <v>2.3</v>
      </c>
      <c r="AF59" s="68"/>
      <c r="AG59" s="68" t="n">
        <v>17</v>
      </c>
      <c r="AH59" s="68" t="n">
        <v>0</v>
      </c>
      <c r="AI59" s="68"/>
      <c r="AJ59" s="68"/>
      <c r="AK59" s="68"/>
      <c r="AL59" s="69" t="n">
        <v>1</v>
      </c>
      <c r="AM59" s="13" t="n">
        <f aca="false">SUM(AI59:AL59)</f>
        <v>1</v>
      </c>
    </row>
    <row r="60" customFormat="false" ht="15" hidden="false" customHeight="false" outlineLevel="0" collapsed="false">
      <c r="A60" s="76" t="s">
        <v>8</v>
      </c>
      <c r="B60" s="45" t="n">
        <v>18</v>
      </c>
      <c r="C60" s="46" t="s">
        <v>14</v>
      </c>
      <c r="D60" s="47" t="n">
        <v>17.3</v>
      </c>
      <c r="E60" s="45" t="n">
        <v>1.29</v>
      </c>
      <c r="F60" s="45"/>
      <c r="G60" s="45" t="n">
        <v>10</v>
      </c>
      <c r="H60" s="45" t="n">
        <v>8</v>
      </c>
      <c r="I60" s="45"/>
      <c r="J60" s="45"/>
      <c r="K60" s="45"/>
      <c r="L60" s="46"/>
      <c r="M60" s="13" t="n">
        <f aca="false">SUM(I60:L60)</f>
        <v>0</v>
      </c>
      <c r="N60" s="67" t="s">
        <v>10</v>
      </c>
      <c r="O60" s="45" t="n">
        <v>18</v>
      </c>
      <c r="P60" s="69" t="s">
        <v>14</v>
      </c>
      <c r="Q60" s="70" t="n">
        <v>19.9</v>
      </c>
      <c r="R60" s="68" t="n">
        <v>1.82</v>
      </c>
      <c r="S60" s="68"/>
      <c r="T60" s="68" t="n">
        <v>15</v>
      </c>
      <c r="U60" s="68" t="n">
        <v>2</v>
      </c>
      <c r="V60" s="68"/>
      <c r="W60" s="68"/>
      <c r="X60" s="68"/>
      <c r="Y60" s="69"/>
      <c r="Z60" s="13" t="n">
        <f aca="false">SUM(V60:Y60)</f>
        <v>0</v>
      </c>
      <c r="AA60" s="76" t="s">
        <v>11</v>
      </c>
      <c r="AB60" s="68" t="n">
        <v>18</v>
      </c>
      <c r="AC60" s="69" t="s">
        <v>14</v>
      </c>
      <c r="AD60" s="70" t="n">
        <v>18.4</v>
      </c>
      <c r="AE60" s="68" t="n">
        <v>1.72</v>
      </c>
      <c r="AF60" s="68"/>
      <c r="AG60" s="68" t="n">
        <v>17</v>
      </c>
      <c r="AH60" s="68" t="n">
        <v>1</v>
      </c>
      <c r="AI60" s="68"/>
      <c r="AJ60" s="68"/>
      <c r="AK60" s="68"/>
      <c r="AL60" s="69"/>
      <c r="AM60" s="13" t="n">
        <f aca="false">SUM(AI60:AL60)</f>
        <v>0</v>
      </c>
    </row>
    <row r="61" customFormat="false" ht="15" hidden="false" customHeight="false" outlineLevel="0" collapsed="false">
      <c r="A61" s="80" t="s">
        <v>8</v>
      </c>
      <c r="B61" s="56" t="n">
        <v>18</v>
      </c>
      <c r="C61" s="57" t="s">
        <v>16</v>
      </c>
      <c r="D61" s="58" t="n">
        <v>16.8</v>
      </c>
      <c r="E61" s="56" t="n">
        <v>1.07</v>
      </c>
      <c r="F61" s="56"/>
      <c r="G61" s="56" t="n">
        <v>7</v>
      </c>
      <c r="H61" s="56" t="n">
        <v>11</v>
      </c>
      <c r="I61" s="56"/>
      <c r="J61" s="56"/>
      <c r="K61" s="56"/>
      <c r="L61" s="57"/>
      <c r="M61" s="13" t="n">
        <f aca="false">SUM(I61:L61)</f>
        <v>0</v>
      </c>
      <c r="N61" s="81" t="s">
        <v>10</v>
      </c>
      <c r="O61" s="49" t="n">
        <v>18</v>
      </c>
      <c r="P61" s="82" t="s">
        <v>16</v>
      </c>
      <c r="Q61" s="83" t="n">
        <v>18.6</v>
      </c>
      <c r="R61" s="84" t="n">
        <v>1.59</v>
      </c>
      <c r="S61" s="84"/>
      <c r="T61" s="84" t="n">
        <v>16</v>
      </c>
      <c r="U61" s="84" t="n">
        <v>2</v>
      </c>
      <c r="V61" s="84"/>
      <c r="W61" s="84"/>
      <c r="X61" s="84"/>
      <c r="Y61" s="82"/>
      <c r="Z61" s="13" t="n">
        <f aca="false">SUM(V61:Y61)</f>
        <v>0</v>
      </c>
      <c r="AA61" s="85" t="s">
        <v>11</v>
      </c>
      <c r="AB61" s="84" t="n">
        <v>18</v>
      </c>
      <c r="AC61" s="82" t="s">
        <v>16</v>
      </c>
      <c r="AD61" s="83" t="n">
        <v>15.9</v>
      </c>
      <c r="AE61" s="84" t="n">
        <v>1.39</v>
      </c>
      <c r="AF61" s="84"/>
      <c r="AG61" s="84" t="n">
        <v>18</v>
      </c>
      <c r="AH61" s="84" t="n">
        <v>0</v>
      </c>
      <c r="AI61" s="84"/>
      <c r="AJ61" s="84"/>
      <c r="AK61" s="84"/>
      <c r="AL61" s="82"/>
      <c r="AM61" s="13" t="n">
        <f aca="false">SUM(AI61:AL61)</f>
        <v>0</v>
      </c>
    </row>
    <row r="62" customFormat="false" ht="15" hidden="false" customHeight="false" outlineLevel="0" collapsed="false">
      <c r="A62" s="14" t="s">
        <v>8</v>
      </c>
      <c r="B62" s="15" t="n">
        <v>24</v>
      </c>
      <c r="C62" s="16" t="s">
        <v>9</v>
      </c>
      <c r="D62" s="61" t="n">
        <v>17.8</v>
      </c>
      <c r="E62" s="15" t="n">
        <v>1.37</v>
      </c>
      <c r="F62" s="15"/>
      <c r="G62" s="15" t="n">
        <v>20</v>
      </c>
      <c r="H62" s="15" t="n">
        <v>4</v>
      </c>
      <c r="I62" s="15"/>
      <c r="J62" s="15"/>
      <c r="K62" s="15"/>
      <c r="L62" s="16"/>
      <c r="M62" s="13" t="n">
        <f aca="false">SUM(I62:L62)</f>
        <v>0</v>
      </c>
      <c r="N62" s="14" t="s">
        <v>10</v>
      </c>
      <c r="O62" s="15" t="n">
        <v>24</v>
      </c>
      <c r="P62" s="16" t="s">
        <v>9</v>
      </c>
      <c r="Q62" s="86" t="n">
        <v>20</v>
      </c>
      <c r="R62" s="87" t="n">
        <v>1.64</v>
      </c>
      <c r="S62" s="15"/>
      <c r="T62" s="15" t="n">
        <v>17</v>
      </c>
      <c r="U62" s="15" t="n">
        <v>8</v>
      </c>
      <c r="V62" s="15"/>
      <c r="W62" s="15"/>
      <c r="X62" s="15"/>
      <c r="Y62" s="16"/>
      <c r="Z62" s="13" t="n">
        <f aca="false">SUM(V62:Y62)</f>
        <v>0</v>
      </c>
      <c r="AA62" s="14" t="s">
        <v>11</v>
      </c>
      <c r="AB62" s="15" t="n">
        <v>24</v>
      </c>
      <c r="AC62" s="16" t="s">
        <v>9</v>
      </c>
      <c r="AD62" s="61" t="n">
        <v>16.8</v>
      </c>
      <c r="AE62" s="15" t="n">
        <v>1.34</v>
      </c>
      <c r="AF62" s="15"/>
      <c r="AG62" s="15" t="n">
        <v>22</v>
      </c>
      <c r="AH62" s="15" t="n">
        <v>2</v>
      </c>
      <c r="AI62" s="15"/>
      <c r="AJ62" s="15"/>
      <c r="AK62" s="15"/>
      <c r="AL62" s="16"/>
      <c r="AM62" s="13" t="n">
        <f aca="false">SUM(AI62:AL62)</f>
        <v>0</v>
      </c>
    </row>
    <row r="63" customFormat="false" ht="15" hidden="false" customHeight="false" outlineLevel="0" collapsed="false">
      <c r="A63" s="19" t="s">
        <v>8</v>
      </c>
      <c r="B63" s="20" t="n">
        <v>24</v>
      </c>
      <c r="C63" s="21" t="s">
        <v>12</v>
      </c>
      <c r="D63" s="22" t="n">
        <v>18.2</v>
      </c>
      <c r="E63" s="20" t="n">
        <v>1.28</v>
      </c>
      <c r="F63" s="20"/>
      <c r="G63" s="20" t="n">
        <v>16</v>
      </c>
      <c r="H63" s="20" t="n">
        <v>8</v>
      </c>
      <c r="I63" s="20"/>
      <c r="J63" s="20"/>
      <c r="K63" s="20"/>
      <c r="L63" s="21"/>
      <c r="M63" s="13" t="n">
        <f aca="false">SUM(I63:L63)</f>
        <v>0</v>
      </c>
      <c r="N63" s="9" t="s">
        <v>10</v>
      </c>
      <c r="O63" s="20" t="n">
        <v>24</v>
      </c>
      <c r="P63" s="21" t="s">
        <v>12</v>
      </c>
      <c r="Q63" s="22" t="n">
        <v>17</v>
      </c>
      <c r="R63" s="20" t="n">
        <v>1.05</v>
      </c>
      <c r="S63" s="20"/>
      <c r="T63" s="20" t="n">
        <v>22</v>
      </c>
      <c r="U63" s="20" t="n">
        <v>2</v>
      </c>
      <c r="V63" s="20"/>
      <c r="W63" s="20"/>
      <c r="X63" s="20"/>
      <c r="Y63" s="21"/>
      <c r="Z63" s="13" t="n">
        <f aca="false">SUM(V63:Y63)</f>
        <v>0</v>
      </c>
      <c r="AA63" s="19" t="s">
        <v>11</v>
      </c>
      <c r="AB63" s="20" t="n">
        <v>24</v>
      </c>
      <c r="AC63" s="21" t="s">
        <v>12</v>
      </c>
      <c r="AD63" s="23" t="n">
        <v>17.5</v>
      </c>
      <c r="AE63" s="24" t="n">
        <v>1.4</v>
      </c>
      <c r="AF63" s="20"/>
      <c r="AG63" s="20" t="n">
        <v>21</v>
      </c>
      <c r="AH63" s="20" t="n">
        <v>2</v>
      </c>
      <c r="AI63" s="20"/>
      <c r="AJ63" s="20"/>
      <c r="AK63" s="20" t="n">
        <v>1</v>
      </c>
      <c r="AL63" s="21"/>
      <c r="AM63" s="13" t="n">
        <f aca="false">SUM(AI63:AL63)</f>
        <v>1</v>
      </c>
    </row>
    <row r="64" customFormat="false" ht="15" hidden="false" customHeight="false" outlineLevel="0" collapsed="false">
      <c r="A64" s="19" t="s">
        <v>8</v>
      </c>
      <c r="B64" s="20" t="n">
        <v>24</v>
      </c>
      <c r="C64" s="21" t="s">
        <v>14</v>
      </c>
      <c r="D64" s="22" t="n">
        <v>16.5</v>
      </c>
      <c r="E64" s="20" t="n">
        <v>1.02</v>
      </c>
      <c r="F64" s="20"/>
      <c r="G64" s="20" t="n">
        <v>18</v>
      </c>
      <c r="H64" s="20" t="n">
        <v>6</v>
      </c>
      <c r="I64" s="20"/>
      <c r="J64" s="20"/>
      <c r="K64" s="20"/>
      <c r="L64" s="21"/>
      <c r="M64" s="13" t="n">
        <f aca="false">SUM(I64:L64)</f>
        <v>0</v>
      </c>
      <c r="N64" s="9" t="s">
        <v>10</v>
      </c>
      <c r="O64" s="20" t="n">
        <v>24</v>
      </c>
      <c r="P64" s="21" t="s">
        <v>14</v>
      </c>
      <c r="Q64" s="22" t="n">
        <v>20.7</v>
      </c>
      <c r="R64" s="20" t="n">
        <v>1.92</v>
      </c>
      <c r="S64" s="20"/>
      <c r="T64" s="20" t="n">
        <v>16</v>
      </c>
      <c r="U64" s="20" t="n">
        <v>4</v>
      </c>
      <c r="V64" s="20" t="n">
        <v>1</v>
      </c>
      <c r="W64" s="20" t="n">
        <v>2</v>
      </c>
      <c r="X64" s="20" t="n">
        <v>1</v>
      </c>
      <c r="Y64" s="21"/>
      <c r="Z64" s="13" t="n">
        <f aca="false">SUM(V64:Y64)</f>
        <v>4</v>
      </c>
      <c r="AA64" s="19" t="s">
        <v>11</v>
      </c>
      <c r="AB64" s="20" t="n">
        <v>24</v>
      </c>
      <c r="AC64" s="21" t="s">
        <v>14</v>
      </c>
      <c r="AD64" s="22" t="n">
        <v>16.5</v>
      </c>
      <c r="AE64" s="20" t="n">
        <v>1.07</v>
      </c>
      <c r="AF64" s="20"/>
      <c r="AG64" s="20" t="n">
        <v>22</v>
      </c>
      <c r="AH64" s="20" t="n">
        <v>1</v>
      </c>
      <c r="AI64" s="20"/>
      <c r="AJ64" s="20"/>
      <c r="AK64" s="20"/>
      <c r="AL64" s="21" t="n">
        <v>1</v>
      </c>
      <c r="AM64" s="13" t="n">
        <f aca="false">SUM(AI64:AL64)</f>
        <v>1</v>
      </c>
    </row>
    <row r="65" customFormat="false" ht="15" hidden="false" customHeight="false" outlineLevel="0" collapsed="false">
      <c r="A65" s="19" t="s">
        <v>8</v>
      </c>
      <c r="B65" s="20" t="n">
        <v>24</v>
      </c>
      <c r="C65" s="21" t="s">
        <v>16</v>
      </c>
      <c r="D65" s="22" t="n">
        <v>16.8</v>
      </c>
      <c r="E65" s="20" t="n">
        <v>1.1</v>
      </c>
      <c r="F65" s="20"/>
      <c r="G65" s="20" t="n">
        <v>17</v>
      </c>
      <c r="H65" s="20" t="n">
        <v>7</v>
      </c>
      <c r="I65" s="20"/>
      <c r="J65" s="20"/>
      <c r="K65" s="20"/>
      <c r="L65" s="21"/>
      <c r="M65" s="13" t="n">
        <f aca="false">SUM(I65:L65)</f>
        <v>0</v>
      </c>
      <c r="N65" s="9" t="s">
        <v>10</v>
      </c>
      <c r="O65" s="20" t="n">
        <v>24</v>
      </c>
      <c r="P65" s="21" t="s">
        <v>16</v>
      </c>
      <c r="Q65" s="22" t="n">
        <v>18.5</v>
      </c>
      <c r="R65" s="20" t="n">
        <v>1.56</v>
      </c>
      <c r="S65" s="20"/>
      <c r="T65" s="20" t="n">
        <v>17</v>
      </c>
      <c r="U65" s="20" t="n">
        <v>4</v>
      </c>
      <c r="V65" s="20"/>
      <c r="W65" s="20"/>
      <c r="X65" s="20"/>
      <c r="Y65" s="21" t="n">
        <v>3</v>
      </c>
      <c r="Z65" s="13" t="n">
        <f aca="false">SUM(V65:Y65)</f>
        <v>3</v>
      </c>
      <c r="AA65" s="19" t="s">
        <v>11</v>
      </c>
      <c r="AB65" s="20" t="n">
        <v>24</v>
      </c>
      <c r="AC65" s="21" t="s">
        <v>16</v>
      </c>
      <c r="AD65" s="22" t="n">
        <v>17.5</v>
      </c>
      <c r="AE65" s="20" t="n">
        <v>1.27</v>
      </c>
      <c r="AF65" s="20"/>
      <c r="AG65" s="20" t="n">
        <v>22</v>
      </c>
      <c r="AH65" s="20" t="n">
        <v>2</v>
      </c>
      <c r="AI65" s="20"/>
      <c r="AJ65" s="20"/>
      <c r="AK65" s="20"/>
      <c r="AL65" s="21"/>
      <c r="AM65" s="13" t="n">
        <f aca="false">SUM(AI65:AL65)</f>
        <v>0</v>
      </c>
    </row>
    <row r="66" customFormat="false" ht="15" hidden="false" customHeight="false" outlineLevel="0" collapsed="false">
      <c r="A66" s="19" t="s">
        <v>8</v>
      </c>
      <c r="B66" s="20" t="n">
        <v>24</v>
      </c>
      <c r="C66" s="21" t="s">
        <v>9</v>
      </c>
      <c r="D66" s="22" t="n">
        <v>19.8</v>
      </c>
      <c r="E66" s="20" t="n">
        <v>1.49</v>
      </c>
      <c r="F66" s="20"/>
      <c r="G66" s="20" t="n">
        <v>17</v>
      </c>
      <c r="H66" s="20" t="n">
        <v>7</v>
      </c>
      <c r="I66" s="20"/>
      <c r="J66" s="20"/>
      <c r="K66" s="20"/>
      <c r="L66" s="21"/>
      <c r="M66" s="13" t="n">
        <f aca="false">SUM(I66:L66)</f>
        <v>0</v>
      </c>
      <c r="N66" s="9" t="s">
        <v>10</v>
      </c>
      <c r="O66" s="20" t="n">
        <v>24</v>
      </c>
      <c r="P66" s="21" t="s">
        <v>9</v>
      </c>
      <c r="Q66" s="22" t="n">
        <v>19.2</v>
      </c>
      <c r="R66" s="20" t="n">
        <v>1.73</v>
      </c>
      <c r="S66" s="20"/>
      <c r="T66" s="20" t="n">
        <v>18</v>
      </c>
      <c r="U66" s="20" t="n">
        <v>4</v>
      </c>
      <c r="V66" s="20"/>
      <c r="W66" s="20" t="n">
        <v>1</v>
      </c>
      <c r="X66" s="20"/>
      <c r="Y66" s="21" t="n">
        <v>1</v>
      </c>
      <c r="Z66" s="13" t="n">
        <f aca="false">SUM(V66:Y66)</f>
        <v>2</v>
      </c>
      <c r="AA66" s="19" t="s">
        <v>11</v>
      </c>
      <c r="AB66" s="20" t="n">
        <v>24</v>
      </c>
      <c r="AC66" s="21" t="s">
        <v>9</v>
      </c>
      <c r="AD66" s="22" t="n">
        <v>17.4</v>
      </c>
      <c r="AE66" s="20" t="n">
        <v>1.46</v>
      </c>
      <c r="AF66" s="20"/>
      <c r="AG66" s="20" t="n">
        <v>22</v>
      </c>
      <c r="AH66" s="20" t="n">
        <v>1</v>
      </c>
      <c r="AI66" s="20"/>
      <c r="AJ66" s="20"/>
      <c r="AK66" s="20"/>
      <c r="AL66" s="21" t="n">
        <v>1</v>
      </c>
      <c r="AM66" s="13" t="n">
        <f aca="false">SUM(AI66:AL66)</f>
        <v>1</v>
      </c>
    </row>
    <row r="67" customFormat="false" ht="15" hidden="false" customHeight="false" outlineLevel="0" collapsed="false">
      <c r="A67" s="19" t="s">
        <v>8</v>
      </c>
      <c r="B67" s="20" t="n">
        <v>24</v>
      </c>
      <c r="C67" s="21" t="s">
        <v>12</v>
      </c>
      <c r="D67" s="22" t="n">
        <v>16.5</v>
      </c>
      <c r="E67" s="20" t="n">
        <v>1.08</v>
      </c>
      <c r="F67" s="20"/>
      <c r="G67" s="20" t="n">
        <v>19</v>
      </c>
      <c r="H67" s="20" t="n">
        <v>5</v>
      </c>
      <c r="I67" s="20"/>
      <c r="J67" s="20"/>
      <c r="K67" s="20"/>
      <c r="L67" s="21"/>
      <c r="M67" s="13" t="n">
        <f aca="false">SUM(I67:L67)</f>
        <v>0</v>
      </c>
      <c r="N67" s="9" t="s">
        <v>10</v>
      </c>
      <c r="O67" s="20" t="n">
        <v>24</v>
      </c>
      <c r="P67" s="21" t="s">
        <v>12</v>
      </c>
      <c r="Q67" s="22" t="n">
        <v>17.6</v>
      </c>
      <c r="R67" s="20" t="n">
        <v>1.22</v>
      </c>
      <c r="S67" s="20"/>
      <c r="T67" s="20" t="n">
        <v>23</v>
      </c>
      <c r="U67" s="20" t="n">
        <v>0</v>
      </c>
      <c r="V67" s="20"/>
      <c r="W67" s="20"/>
      <c r="X67" s="20"/>
      <c r="Y67" s="21" t="n">
        <v>1</v>
      </c>
      <c r="Z67" s="13" t="n">
        <f aca="false">SUM(V67:Y67)</f>
        <v>1</v>
      </c>
      <c r="AA67" s="19" t="s">
        <v>11</v>
      </c>
      <c r="AB67" s="20" t="n">
        <v>24</v>
      </c>
      <c r="AC67" s="21" t="s">
        <v>12</v>
      </c>
      <c r="AD67" s="22" t="n">
        <v>15.7</v>
      </c>
      <c r="AE67" s="20" t="n">
        <v>1.04</v>
      </c>
      <c r="AF67" s="20"/>
      <c r="AG67" s="20" t="n">
        <v>23</v>
      </c>
      <c r="AH67" s="20" t="n">
        <v>0</v>
      </c>
      <c r="AI67" s="20"/>
      <c r="AJ67" s="20"/>
      <c r="AK67" s="20"/>
      <c r="AL67" s="21" t="n">
        <v>1</v>
      </c>
      <c r="AM67" s="13" t="n">
        <f aca="false">SUM(AI67:AL67)</f>
        <v>1</v>
      </c>
    </row>
    <row r="68" customFormat="false" ht="15" hidden="false" customHeight="false" outlineLevel="0" collapsed="false">
      <c r="A68" s="19" t="s">
        <v>8</v>
      </c>
      <c r="B68" s="20" t="n">
        <v>24</v>
      </c>
      <c r="C68" s="21" t="s">
        <v>14</v>
      </c>
      <c r="D68" s="22" t="n">
        <v>17</v>
      </c>
      <c r="E68" s="20" t="n">
        <v>1.08</v>
      </c>
      <c r="F68" s="20"/>
      <c r="G68" s="20" t="n">
        <v>18</v>
      </c>
      <c r="H68" s="20" t="n">
        <v>6</v>
      </c>
      <c r="I68" s="20"/>
      <c r="J68" s="20"/>
      <c r="K68" s="20"/>
      <c r="L68" s="21"/>
      <c r="M68" s="13" t="n">
        <f aca="false">SUM(I68:L68)</f>
        <v>0</v>
      </c>
      <c r="N68" s="9" t="s">
        <v>10</v>
      </c>
      <c r="O68" s="20" t="n">
        <v>24</v>
      </c>
      <c r="P68" s="21" t="s">
        <v>14</v>
      </c>
      <c r="Q68" s="22" t="n">
        <v>20.6</v>
      </c>
      <c r="R68" s="20" t="n">
        <v>1.83</v>
      </c>
      <c r="S68" s="20"/>
      <c r="T68" s="20" t="n">
        <v>18</v>
      </c>
      <c r="U68" s="20" t="n">
        <v>6</v>
      </c>
      <c r="V68" s="20"/>
      <c r="W68" s="20"/>
      <c r="X68" s="20"/>
      <c r="Y68" s="21"/>
      <c r="Z68" s="13" t="n">
        <f aca="false">SUM(V68:Y68)</f>
        <v>0</v>
      </c>
      <c r="AA68" s="19" t="s">
        <v>11</v>
      </c>
      <c r="AB68" s="20" t="n">
        <v>24</v>
      </c>
      <c r="AC68" s="21" t="s">
        <v>14</v>
      </c>
      <c r="AD68" s="22" t="n">
        <v>16.1</v>
      </c>
      <c r="AE68" s="20" t="n">
        <v>1.09</v>
      </c>
      <c r="AF68" s="20"/>
      <c r="AG68" s="20" t="n">
        <v>24</v>
      </c>
      <c r="AH68" s="20" t="n">
        <v>0</v>
      </c>
      <c r="AI68" s="20"/>
      <c r="AJ68" s="20"/>
      <c r="AK68" s="20"/>
      <c r="AL68" s="21"/>
      <c r="AM68" s="13" t="n">
        <f aca="false">SUM(AI68:AL68)</f>
        <v>0</v>
      </c>
    </row>
    <row r="69" customFormat="false" ht="15" hidden="false" customHeight="false" outlineLevel="0" collapsed="false">
      <c r="A69" s="19" t="s">
        <v>8</v>
      </c>
      <c r="B69" s="20" t="n">
        <v>24</v>
      </c>
      <c r="C69" s="21" t="s">
        <v>16</v>
      </c>
      <c r="D69" s="22" t="n">
        <v>20</v>
      </c>
      <c r="E69" s="20" t="n">
        <v>1.49</v>
      </c>
      <c r="F69" s="20"/>
      <c r="G69" s="20" t="n">
        <v>18</v>
      </c>
      <c r="H69" s="20" t="n">
        <v>6</v>
      </c>
      <c r="I69" s="20"/>
      <c r="J69" s="20"/>
      <c r="K69" s="20"/>
      <c r="L69" s="21"/>
      <c r="M69" s="13" t="n">
        <f aca="false">SUM(I69:L69)</f>
        <v>0</v>
      </c>
      <c r="N69" s="9" t="s">
        <v>10</v>
      </c>
      <c r="O69" s="20" t="n">
        <v>24</v>
      </c>
      <c r="P69" s="21" t="s">
        <v>16</v>
      </c>
      <c r="Q69" s="22" t="n">
        <v>16.7</v>
      </c>
      <c r="R69" s="20" t="n">
        <v>1.5</v>
      </c>
      <c r="S69" s="20"/>
      <c r="T69" s="20" t="n">
        <v>21</v>
      </c>
      <c r="U69" s="20" t="n">
        <v>3</v>
      </c>
      <c r="V69" s="20"/>
      <c r="W69" s="20"/>
      <c r="X69" s="20"/>
      <c r="Y69" s="21"/>
      <c r="Z69" s="13" t="n">
        <f aca="false">SUM(V69:Y69)</f>
        <v>0</v>
      </c>
      <c r="AA69" s="19" t="s">
        <v>11</v>
      </c>
      <c r="AB69" s="20" t="n">
        <v>24</v>
      </c>
      <c r="AC69" s="21" t="s">
        <v>16</v>
      </c>
      <c r="AD69" s="22" t="n">
        <v>18.3</v>
      </c>
      <c r="AE69" s="20" t="n">
        <v>1.58</v>
      </c>
      <c r="AF69" s="20"/>
      <c r="AG69" s="20" t="n">
        <v>21</v>
      </c>
      <c r="AH69" s="20" t="n">
        <v>2</v>
      </c>
      <c r="AI69" s="20"/>
      <c r="AJ69" s="20"/>
      <c r="AK69" s="20" t="n">
        <v>1</v>
      </c>
      <c r="AL69" s="21"/>
      <c r="AM69" s="13" t="n">
        <f aca="false">SUM(AI69:AL69)</f>
        <v>1</v>
      </c>
    </row>
    <row r="70" customFormat="false" ht="15" hidden="false" customHeight="false" outlineLevel="0" collapsed="false">
      <c r="A70" s="19" t="s">
        <v>8</v>
      </c>
      <c r="B70" s="20" t="n">
        <v>24</v>
      </c>
      <c r="C70" s="21" t="s">
        <v>9</v>
      </c>
      <c r="D70" s="22" t="n">
        <v>18.1</v>
      </c>
      <c r="E70" s="20" t="n">
        <v>1.33</v>
      </c>
      <c r="F70" s="20"/>
      <c r="G70" s="20" t="n">
        <v>13</v>
      </c>
      <c r="H70" s="20" t="n">
        <v>11</v>
      </c>
      <c r="I70" s="20"/>
      <c r="J70" s="20"/>
      <c r="K70" s="20"/>
      <c r="L70" s="21"/>
      <c r="M70" s="13" t="n">
        <f aca="false">SUM(I70:L70)</f>
        <v>0</v>
      </c>
      <c r="N70" s="9" t="s">
        <v>10</v>
      </c>
      <c r="O70" s="20" t="n">
        <v>24</v>
      </c>
      <c r="P70" s="21" t="s">
        <v>9</v>
      </c>
      <c r="Q70" s="22" t="n">
        <v>17.5</v>
      </c>
      <c r="R70" s="20" t="n">
        <v>1.33</v>
      </c>
      <c r="S70" s="20"/>
      <c r="T70" s="20" t="n">
        <v>20</v>
      </c>
      <c r="U70" s="20" t="n">
        <v>2</v>
      </c>
      <c r="V70" s="20"/>
      <c r="W70" s="20" t="n">
        <v>1</v>
      </c>
      <c r="X70" s="20"/>
      <c r="Y70" s="21" t="n">
        <v>1</v>
      </c>
      <c r="Z70" s="13" t="n">
        <f aca="false">SUM(V70:Y70)</f>
        <v>2</v>
      </c>
      <c r="AA70" s="19" t="s">
        <v>11</v>
      </c>
      <c r="AB70" s="20" t="n">
        <v>24</v>
      </c>
      <c r="AC70" s="21" t="s">
        <v>9</v>
      </c>
      <c r="AD70" s="22" t="n">
        <v>16.1</v>
      </c>
      <c r="AE70" s="20" t="n">
        <v>1.2</v>
      </c>
      <c r="AF70" s="20"/>
      <c r="AG70" s="20" t="n">
        <v>21</v>
      </c>
      <c r="AH70" s="20" t="n">
        <v>3</v>
      </c>
      <c r="AI70" s="20"/>
      <c r="AJ70" s="20"/>
      <c r="AK70" s="20"/>
      <c r="AL70" s="21"/>
      <c r="AM70" s="13" t="n">
        <f aca="false">SUM(AI70:AL70)</f>
        <v>0</v>
      </c>
    </row>
    <row r="71" customFormat="false" ht="15" hidden="false" customHeight="false" outlineLevel="0" collapsed="false">
      <c r="A71" s="19" t="s">
        <v>8</v>
      </c>
      <c r="B71" s="20" t="n">
        <v>24</v>
      </c>
      <c r="C71" s="21" t="s">
        <v>12</v>
      </c>
      <c r="D71" s="22" t="n">
        <v>18.1</v>
      </c>
      <c r="E71" s="20" t="n">
        <v>1.39</v>
      </c>
      <c r="F71" s="20"/>
      <c r="G71" s="20" t="n">
        <v>18</v>
      </c>
      <c r="H71" s="20" t="n">
        <v>5</v>
      </c>
      <c r="I71" s="20"/>
      <c r="J71" s="20"/>
      <c r="K71" s="20"/>
      <c r="L71" s="21"/>
      <c r="M71" s="13" t="n">
        <f aca="false">SUM(I71:L71)</f>
        <v>0</v>
      </c>
      <c r="N71" s="9" t="s">
        <v>10</v>
      </c>
      <c r="O71" s="20" t="n">
        <v>24</v>
      </c>
      <c r="P71" s="21" t="s">
        <v>12</v>
      </c>
      <c r="Q71" s="22" t="n">
        <v>17.7</v>
      </c>
      <c r="R71" s="20" t="n">
        <v>1.38</v>
      </c>
      <c r="S71" s="20"/>
      <c r="T71" s="20" t="n">
        <v>12</v>
      </c>
      <c r="U71" s="20" t="n">
        <v>8</v>
      </c>
      <c r="V71" s="20" t="n">
        <v>2</v>
      </c>
      <c r="W71" s="20"/>
      <c r="X71" s="20" t="n">
        <v>1</v>
      </c>
      <c r="Y71" s="21" t="n">
        <v>1</v>
      </c>
      <c r="Z71" s="13" t="n">
        <f aca="false">SUM(V71:Y71)</f>
        <v>4</v>
      </c>
      <c r="AA71" s="19" t="s">
        <v>11</v>
      </c>
      <c r="AB71" s="20" t="n">
        <v>24</v>
      </c>
      <c r="AC71" s="21" t="s">
        <v>12</v>
      </c>
      <c r="AD71" s="22" t="n">
        <v>17.9</v>
      </c>
      <c r="AE71" s="20" t="n">
        <v>1.6</v>
      </c>
      <c r="AF71" s="20"/>
      <c r="AG71" s="20" t="n">
        <v>23</v>
      </c>
      <c r="AH71" s="20" t="n">
        <v>1</v>
      </c>
      <c r="AI71" s="20"/>
      <c r="AJ71" s="20"/>
      <c r="AK71" s="20"/>
      <c r="AL71" s="21" t="n">
        <v>1</v>
      </c>
      <c r="AM71" s="13" t="n">
        <f aca="false">SUM(AI71:AL71)</f>
        <v>1</v>
      </c>
    </row>
    <row r="72" customFormat="false" ht="15" hidden="false" customHeight="false" outlineLevel="0" collapsed="false">
      <c r="A72" s="19" t="s">
        <v>8</v>
      </c>
      <c r="B72" s="20" t="n">
        <v>24</v>
      </c>
      <c r="C72" s="21" t="s">
        <v>14</v>
      </c>
      <c r="D72" s="22" t="n">
        <v>18.2</v>
      </c>
      <c r="E72" s="20" t="n">
        <v>1.44</v>
      </c>
      <c r="F72" s="20"/>
      <c r="G72" s="20" t="n">
        <v>22</v>
      </c>
      <c r="H72" s="20" t="n">
        <v>2</v>
      </c>
      <c r="I72" s="20"/>
      <c r="J72" s="20"/>
      <c r="K72" s="20"/>
      <c r="L72" s="21"/>
      <c r="M72" s="13" t="n">
        <f aca="false">SUM(I72:L72)</f>
        <v>0</v>
      </c>
      <c r="N72" s="9" t="s">
        <v>10</v>
      </c>
      <c r="O72" s="20" t="n">
        <v>24</v>
      </c>
      <c r="P72" s="21" t="s">
        <v>14</v>
      </c>
      <c r="Q72" s="22" t="n">
        <v>18.2</v>
      </c>
      <c r="R72" s="20" t="n">
        <v>1.4</v>
      </c>
      <c r="S72" s="20"/>
      <c r="T72" s="20" t="n">
        <v>21</v>
      </c>
      <c r="U72" s="20" t="n">
        <v>3</v>
      </c>
      <c r="V72" s="20"/>
      <c r="W72" s="20"/>
      <c r="X72" s="20"/>
      <c r="Y72" s="21"/>
      <c r="Z72" s="13" t="n">
        <f aca="false">SUM(V72:Y72)</f>
        <v>0</v>
      </c>
      <c r="AA72" s="19" t="s">
        <v>11</v>
      </c>
      <c r="AB72" s="20" t="n">
        <v>24</v>
      </c>
      <c r="AC72" s="21" t="s">
        <v>14</v>
      </c>
      <c r="AD72" s="22" t="n">
        <v>17.6</v>
      </c>
      <c r="AE72" s="20" t="n">
        <v>1.5</v>
      </c>
      <c r="AF72" s="20"/>
      <c r="AG72" s="20" t="n">
        <v>22</v>
      </c>
      <c r="AH72" s="20" t="n">
        <v>2</v>
      </c>
      <c r="AI72" s="20"/>
      <c r="AJ72" s="20"/>
      <c r="AK72" s="20"/>
      <c r="AL72" s="21"/>
      <c r="AM72" s="13" t="n">
        <f aca="false">SUM(AI72:AL72)</f>
        <v>0</v>
      </c>
    </row>
    <row r="73" customFormat="false" ht="15" hidden="false" customHeight="false" outlineLevel="0" collapsed="false">
      <c r="A73" s="26" t="s">
        <v>8</v>
      </c>
      <c r="B73" s="27" t="n">
        <v>24</v>
      </c>
      <c r="C73" s="28" t="s">
        <v>16</v>
      </c>
      <c r="D73" s="29" t="n">
        <v>16.4</v>
      </c>
      <c r="E73" s="27" t="n">
        <v>1.06</v>
      </c>
      <c r="F73" s="27"/>
      <c r="G73" s="27" t="n">
        <v>17</v>
      </c>
      <c r="H73" s="27" t="n">
        <v>7</v>
      </c>
      <c r="I73" s="27"/>
      <c r="J73" s="27"/>
      <c r="K73" s="27"/>
      <c r="L73" s="28"/>
      <c r="M73" s="13" t="n">
        <f aca="false">SUM(I73:L73)</f>
        <v>0</v>
      </c>
      <c r="N73" s="59" t="s">
        <v>10</v>
      </c>
      <c r="O73" s="27" t="n">
        <v>24</v>
      </c>
      <c r="P73" s="28" t="s">
        <v>16</v>
      </c>
      <c r="Q73" s="29" t="n">
        <v>16.4</v>
      </c>
      <c r="R73" s="27" t="n">
        <v>1.16</v>
      </c>
      <c r="S73" s="27"/>
      <c r="T73" s="27" t="n">
        <v>18</v>
      </c>
      <c r="U73" s="27" t="n">
        <v>3</v>
      </c>
      <c r="V73" s="27"/>
      <c r="W73" s="27"/>
      <c r="X73" s="27"/>
      <c r="Y73" s="28"/>
      <c r="Z73" s="13" t="n">
        <f aca="false">SUM(V73:Y73)</f>
        <v>0</v>
      </c>
      <c r="AA73" s="26" t="s">
        <v>11</v>
      </c>
      <c r="AB73" s="27" t="n">
        <v>24</v>
      </c>
      <c r="AC73" s="28" t="s">
        <v>16</v>
      </c>
      <c r="AD73" s="29" t="n">
        <v>16.5</v>
      </c>
      <c r="AE73" s="27" t="n">
        <v>1.13</v>
      </c>
      <c r="AF73" s="27"/>
      <c r="AG73" s="27" t="n">
        <v>24</v>
      </c>
      <c r="AH73" s="27" t="n">
        <v>0</v>
      </c>
      <c r="AI73" s="27"/>
      <c r="AJ73" s="27"/>
      <c r="AK73" s="27"/>
      <c r="AL73" s="28"/>
      <c r="AM73" s="13" t="n">
        <f aca="false">SUM(AI73:AL73)</f>
        <v>0</v>
      </c>
    </row>
    <row r="74" customFormat="false" ht="15" hidden="false" customHeight="false" outlineLevel="0" collapsed="false">
      <c r="M74" s="88"/>
      <c r="Z74" s="88"/>
    </row>
    <row r="75" customFormat="false" ht="30.75" hidden="false" customHeight="true" outlineLevel="0" collapsed="false">
      <c r="A75" s="89" t="s">
        <v>18</v>
      </c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8"/>
      <c r="N75" s="89" t="s">
        <v>18</v>
      </c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8"/>
      <c r="AA75" s="89" t="s">
        <v>18</v>
      </c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</row>
    <row r="76" customFormat="false" ht="15" hidden="false" customHeight="false" outlineLevel="0" collapsed="false">
      <c r="A76" s="90" t="s">
        <v>19</v>
      </c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88"/>
      <c r="N76" s="90" t="s">
        <v>19</v>
      </c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88"/>
      <c r="AA76" s="90" t="s">
        <v>19</v>
      </c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</row>
    <row r="77" customFormat="false" ht="15" hidden="false" customHeight="false" outlineLevel="0" collapsed="false">
      <c r="A77" s="90" t="s">
        <v>20</v>
      </c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88"/>
      <c r="N77" s="90" t="s">
        <v>20</v>
      </c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88"/>
      <c r="AA77" s="90" t="s">
        <v>20</v>
      </c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</row>
    <row r="78" customFormat="false" ht="15" hidden="false" customHeight="false" outlineLevel="0" collapsed="false">
      <c r="A78" s="90" t="s">
        <v>21</v>
      </c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88"/>
      <c r="N78" s="90" t="s">
        <v>21</v>
      </c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88"/>
      <c r="AA78" s="90" t="s">
        <v>21</v>
      </c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</row>
    <row r="79" customFormat="false" ht="15" hidden="false" customHeight="false" outlineLevel="0" collapsed="false">
      <c r="A79" s="90" t="s">
        <v>22</v>
      </c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N79" s="90" t="s">
        <v>22</v>
      </c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AA79" s="90" t="s">
        <v>22</v>
      </c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</row>
    <row r="80" customFormat="false" ht="15" hidden="false" customHeight="false" outlineLevel="0" collapsed="false">
      <c r="A80" s="90" t="s">
        <v>23</v>
      </c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N80" s="90" t="s">
        <v>23</v>
      </c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AA80" s="90" t="s">
        <v>23</v>
      </c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</row>
    <row r="81" customFormat="false" ht="15" hidden="false" customHeight="false" outlineLevel="0" collapsed="false">
      <c r="A81" s="91" t="s">
        <v>24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N81" s="91" t="s">
        <v>24</v>
      </c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AA81" s="91" t="s">
        <v>24</v>
      </c>
      <c r="AB81" s="91"/>
      <c r="AC81" s="91"/>
      <c r="AD81" s="91"/>
      <c r="AE81" s="91"/>
      <c r="AF81" s="91"/>
      <c r="AG81" s="91"/>
      <c r="AH81" s="91"/>
      <c r="AI81" s="91"/>
      <c r="AJ81" s="91"/>
      <c r="AK81" s="91"/>
      <c r="AL81" s="91"/>
    </row>
    <row r="82" customFormat="false" ht="15" hidden="false" customHeight="false" outlineLevel="0" collapsed="false">
      <c r="A82" s="45" t="s">
        <v>8</v>
      </c>
      <c r="B82" s="45" t="n">
        <v>3</v>
      </c>
      <c r="C82" s="45" t="s">
        <v>16</v>
      </c>
      <c r="D82" s="45" t="n">
        <v>17.1</v>
      </c>
      <c r="E82" s="45" t="n">
        <v>1.08</v>
      </c>
      <c r="F82" s="45" t="s">
        <v>25</v>
      </c>
      <c r="G82" s="45" t="n">
        <v>2</v>
      </c>
      <c r="H82" s="45" t="n">
        <v>1</v>
      </c>
      <c r="I82" s="45"/>
      <c r="J82" s="45"/>
      <c r="K82" s="45"/>
      <c r="L82" s="45"/>
      <c r="N82" s="68" t="s">
        <v>10</v>
      </c>
      <c r="O82" s="68" t="n">
        <v>1</v>
      </c>
      <c r="P82" s="68" t="s">
        <v>9</v>
      </c>
      <c r="Q82" s="68" t="n">
        <v>19.6</v>
      </c>
      <c r="R82" s="68" t="n">
        <v>1.68</v>
      </c>
      <c r="S82" s="68" t="s">
        <v>26</v>
      </c>
      <c r="T82" s="68" t="n">
        <v>1</v>
      </c>
      <c r="U82" s="68" t="n">
        <v>0</v>
      </c>
      <c r="V82" s="68"/>
      <c r="W82" s="68"/>
      <c r="X82" s="68"/>
      <c r="Y82" s="68"/>
      <c r="AA82" s="78" t="s">
        <v>11</v>
      </c>
      <c r="AB82" s="78" t="n">
        <v>24</v>
      </c>
      <c r="AC82" s="78" t="s">
        <v>12</v>
      </c>
      <c r="AD82" s="78" t="n">
        <v>13.5</v>
      </c>
      <c r="AE82" s="78" t="n">
        <v>1.67</v>
      </c>
      <c r="AF82" s="78" t="s">
        <v>27</v>
      </c>
      <c r="AG82" s="78" t="n">
        <v>20</v>
      </c>
      <c r="AH82" s="78" t="n">
        <v>1</v>
      </c>
      <c r="AI82" s="78"/>
      <c r="AJ82" s="78"/>
      <c r="AK82" s="78"/>
      <c r="AL82" s="78" t="n">
        <v>1</v>
      </c>
    </row>
    <row r="83" customFormat="false" ht="15" hidden="false" customHeight="false" outlineLevel="0" collapsed="false">
      <c r="A83" s="45" t="s">
        <v>8</v>
      </c>
      <c r="B83" s="45" t="n">
        <v>36</v>
      </c>
      <c r="C83" s="45" t="s">
        <v>9</v>
      </c>
      <c r="D83" s="45" t="n">
        <v>17.6</v>
      </c>
      <c r="E83" s="45" t="n">
        <v>1.34</v>
      </c>
      <c r="F83" s="45" t="n">
        <v>36</v>
      </c>
      <c r="G83" s="45" t="n">
        <v>34</v>
      </c>
      <c r="H83" s="45" t="n">
        <v>2</v>
      </c>
      <c r="I83" s="45"/>
      <c r="J83" s="45"/>
      <c r="K83" s="45"/>
      <c r="L83" s="45" t="s">
        <v>28</v>
      </c>
      <c r="N83" s="68" t="s">
        <v>10</v>
      </c>
      <c r="O83" s="68" t="n">
        <v>6</v>
      </c>
      <c r="P83" s="68" t="s">
        <v>16</v>
      </c>
      <c r="Q83" s="68" t="n">
        <v>16.8</v>
      </c>
      <c r="R83" s="68" t="n">
        <v>1.12</v>
      </c>
      <c r="S83" s="68" t="s">
        <v>26</v>
      </c>
      <c r="T83" s="68" t="n">
        <v>6</v>
      </c>
      <c r="U83" s="68" t="n">
        <v>0</v>
      </c>
      <c r="V83" s="68"/>
      <c r="W83" s="68"/>
      <c r="X83" s="68"/>
      <c r="Y83" s="68"/>
      <c r="AA83" s="45" t="s">
        <v>11</v>
      </c>
      <c r="AB83" s="45" t="n">
        <v>24</v>
      </c>
      <c r="AC83" s="45" t="s">
        <v>14</v>
      </c>
      <c r="AD83" s="45" t="n">
        <v>15.3</v>
      </c>
      <c r="AE83" s="45" t="n">
        <v>0.8</v>
      </c>
      <c r="AF83" s="45" t="s">
        <v>27</v>
      </c>
      <c r="AG83" s="45" t="n">
        <v>22</v>
      </c>
      <c r="AH83" s="45" t="n">
        <v>2</v>
      </c>
      <c r="AI83" s="45"/>
      <c r="AJ83" s="45"/>
      <c r="AK83" s="45"/>
      <c r="AL83" s="45"/>
    </row>
    <row r="84" customFormat="false" ht="15" hidden="false" customHeight="false" outlineLevel="0" collapsed="false">
      <c r="A84" s="45" t="s">
        <v>8</v>
      </c>
      <c r="B84" s="45" t="n">
        <v>36</v>
      </c>
      <c r="C84" s="45" t="s">
        <v>12</v>
      </c>
      <c r="D84" s="45" t="n">
        <v>17.9</v>
      </c>
      <c r="E84" s="45" t="n">
        <v>1.39</v>
      </c>
      <c r="F84" s="45" t="n">
        <v>36</v>
      </c>
      <c r="G84" s="45" t="n">
        <v>31</v>
      </c>
      <c r="H84" s="45" t="n">
        <v>5</v>
      </c>
      <c r="I84" s="45"/>
      <c r="J84" s="45"/>
      <c r="K84" s="45"/>
      <c r="L84" s="45" t="s">
        <v>29</v>
      </c>
      <c r="N84" s="68" t="s">
        <v>10</v>
      </c>
      <c r="O84" s="68" t="n">
        <v>24</v>
      </c>
      <c r="P84" s="68" t="s">
        <v>9</v>
      </c>
      <c r="Q84" s="92" t="n">
        <v>22</v>
      </c>
      <c r="R84" s="92" t="n">
        <v>2.54</v>
      </c>
      <c r="S84" s="68" t="s">
        <v>30</v>
      </c>
      <c r="T84" s="68" t="n">
        <v>1</v>
      </c>
      <c r="U84" s="68" t="n">
        <v>11</v>
      </c>
      <c r="V84" s="68" t="n">
        <v>1</v>
      </c>
      <c r="W84" s="68"/>
      <c r="X84" s="68" t="n">
        <v>3</v>
      </c>
      <c r="Y84" s="68" t="n">
        <v>8</v>
      </c>
      <c r="AA84" s="68" t="s">
        <v>11</v>
      </c>
      <c r="AB84" s="68" t="n">
        <v>36</v>
      </c>
      <c r="AC84" s="68" t="s">
        <v>9</v>
      </c>
      <c r="AD84" s="47" t="n">
        <v>17.5</v>
      </c>
      <c r="AE84" s="45" t="n">
        <v>1.34</v>
      </c>
      <c r="AF84" s="45" t="n">
        <v>36</v>
      </c>
      <c r="AG84" s="45" t="n">
        <v>35</v>
      </c>
      <c r="AH84" s="45" t="n">
        <v>1</v>
      </c>
      <c r="AI84" s="45"/>
      <c r="AJ84" s="45"/>
      <c r="AK84" s="45"/>
      <c r="AL84" s="45"/>
    </row>
    <row r="85" customFormat="false" ht="15" hidden="false" customHeight="false" outlineLevel="0" collapsed="false">
      <c r="A85" s="45" t="s">
        <v>8</v>
      </c>
      <c r="B85" s="45" t="n">
        <v>6</v>
      </c>
      <c r="C85" s="45" t="s">
        <v>16</v>
      </c>
      <c r="D85" s="45" t="n">
        <v>16.4</v>
      </c>
      <c r="E85" s="45" t="n">
        <v>1.06</v>
      </c>
      <c r="F85" s="45" t="s">
        <v>31</v>
      </c>
      <c r="G85" s="45" t="n">
        <v>6</v>
      </c>
      <c r="H85" s="45" t="n">
        <v>0</v>
      </c>
      <c r="I85" s="45"/>
      <c r="J85" s="45"/>
      <c r="K85" s="45"/>
      <c r="L85" s="45" t="s">
        <v>32</v>
      </c>
      <c r="N85" s="68" t="s">
        <v>10</v>
      </c>
      <c r="O85" s="68" t="n">
        <v>24</v>
      </c>
      <c r="P85" s="68" t="s">
        <v>14</v>
      </c>
      <c r="Q85" s="68" t="n">
        <v>16.9</v>
      </c>
      <c r="R85" s="68" t="n">
        <v>1.22</v>
      </c>
      <c r="S85" s="68" t="s">
        <v>26</v>
      </c>
      <c r="T85" s="68" t="n">
        <v>22</v>
      </c>
      <c r="U85" s="68" t="n">
        <v>0</v>
      </c>
      <c r="V85" s="68"/>
      <c r="W85" s="68"/>
      <c r="X85" s="68"/>
      <c r="Y85" s="68" t="n">
        <v>2</v>
      </c>
      <c r="AA85" s="68" t="s">
        <v>11</v>
      </c>
      <c r="AB85" s="68" t="n">
        <v>36</v>
      </c>
      <c r="AC85" s="68" t="s">
        <v>12</v>
      </c>
      <c r="AD85" s="47" t="n">
        <v>16.5</v>
      </c>
      <c r="AE85" s="45" t="n">
        <v>1.31</v>
      </c>
      <c r="AF85" s="45" t="n">
        <v>36</v>
      </c>
      <c r="AG85" s="45" t="n">
        <v>35</v>
      </c>
      <c r="AH85" s="45"/>
      <c r="AI85" s="45"/>
      <c r="AJ85" s="45" t="n">
        <v>1</v>
      </c>
      <c r="AK85" s="45"/>
      <c r="AL85" s="45"/>
    </row>
    <row r="86" customFormat="false" ht="15" hidden="false" customHeight="false" outlineLevel="0" collapsed="false">
      <c r="N86" s="68" t="s">
        <v>10</v>
      </c>
      <c r="O86" s="68" t="n">
        <v>36</v>
      </c>
      <c r="P86" s="68" t="s">
        <v>9</v>
      </c>
      <c r="Q86" s="68" t="n">
        <v>20.7</v>
      </c>
      <c r="R86" s="68" t="n">
        <v>1.95</v>
      </c>
      <c r="S86" s="68" t="n">
        <v>36</v>
      </c>
      <c r="T86" s="68" t="n">
        <v>32</v>
      </c>
      <c r="U86" s="68" t="n">
        <v>4</v>
      </c>
      <c r="V86" s="68"/>
      <c r="W86" s="68"/>
      <c r="X86" s="68"/>
      <c r="Y86" s="68" t="s">
        <v>33</v>
      </c>
    </row>
    <row r="87" customFormat="false" ht="15" hidden="false" customHeight="false" outlineLevel="0" collapsed="false">
      <c r="B87" s="93" t="n">
        <v>44780</v>
      </c>
      <c r="C87" s="93"/>
      <c r="D87" s="93"/>
      <c r="E87" s="1" t="s">
        <v>34</v>
      </c>
      <c r="I87" s="94" t="n">
        <v>44724</v>
      </c>
      <c r="J87" s="94"/>
      <c r="N87" s="68" t="s">
        <v>10</v>
      </c>
      <c r="O87" s="68" t="n">
        <v>36</v>
      </c>
      <c r="P87" s="68" t="s">
        <v>12</v>
      </c>
      <c r="Q87" s="68" t="n">
        <v>17.3</v>
      </c>
      <c r="R87" s="68" t="n">
        <v>2.33</v>
      </c>
      <c r="S87" s="68" t="n">
        <v>36</v>
      </c>
      <c r="T87" s="68" t="n">
        <v>34</v>
      </c>
      <c r="U87" s="68" t="n">
        <v>2</v>
      </c>
      <c r="V87" s="68"/>
      <c r="W87" s="68"/>
      <c r="X87" s="68"/>
      <c r="Y87" s="68"/>
    </row>
    <row r="88" customFormat="false" ht="15" hidden="false" customHeight="false" outlineLevel="0" collapsed="false">
      <c r="D88" s="1" t="n">
        <v>35</v>
      </c>
      <c r="E88" s="1" t="n">
        <v>23.5</v>
      </c>
      <c r="F88" s="1" t="n">
        <v>29.1</v>
      </c>
      <c r="G88" s="1" t="n">
        <v>32</v>
      </c>
      <c r="H88" s="1" t="n">
        <v>28.5</v>
      </c>
      <c r="I88" s="95" t="n">
        <v>38.4</v>
      </c>
      <c r="J88" s="1" t="n">
        <v>37.3</v>
      </c>
      <c r="N88" s="68" t="s">
        <v>10</v>
      </c>
      <c r="O88" s="68" t="n">
        <v>1</v>
      </c>
      <c r="P88" s="68" t="s">
        <v>12</v>
      </c>
      <c r="Q88" s="78" t="n">
        <v>15.9</v>
      </c>
      <c r="R88" s="78" t="n">
        <v>0.94</v>
      </c>
      <c r="S88" s="68" t="s">
        <v>27</v>
      </c>
      <c r="T88" s="68" t="n">
        <v>0</v>
      </c>
      <c r="U88" s="68" t="n">
        <v>1</v>
      </c>
      <c r="V88" s="68"/>
      <c r="W88" s="68"/>
      <c r="X88" s="68"/>
      <c r="Y88" s="68"/>
    </row>
    <row r="89" customFormat="false" ht="15" hidden="false" customHeight="false" outlineLevel="0" collapsed="false">
      <c r="D89" s="1" t="n">
        <v>29.3</v>
      </c>
      <c r="E89" s="1" t="n">
        <v>30</v>
      </c>
      <c r="F89" s="1" t="n">
        <v>30.5</v>
      </c>
      <c r="G89" s="1" t="n">
        <v>27.4</v>
      </c>
      <c r="H89" s="1" t="n">
        <v>26.1</v>
      </c>
      <c r="I89" s="1" t="n">
        <v>31.3</v>
      </c>
      <c r="J89" s="1" t="n">
        <v>29</v>
      </c>
      <c r="N89" s="68" t="s">
        <v>10</v>
      </c>
      <c r="O89" s="68" t="n">
        <v>3</v>
      </c>
      <c r="P89" s="68" t="s">
        <v>14</v>
      </c>
      <c r="Q89" s="68" t="n">
        <v>15.8</v>
      </c>
      <c r="R89" s="68" t="n">
        <v>0.98</v>
      </c>
      <c r="S89" s="68" t="s">
        <v>27</v>
      </c>
      <c r="T89" s="68" t="n">
        <v>2</v>
      </c>
      <c r="U89" s="68" t="n">
        <v>1</v>
      </c>
      <c r="V89" s="68"/>
      <c r="W89" s="68"/>
      <c r="X89" s="68"/>
      <c r="Y89" s="68"/>
    </row>
    <row r="90" customFormat="false" ht="15" hidden="false" customHeight="false" outlineLevel="0" collapsed="false">
      <c r="D90" s="1" t="n">
        <v>29.8</v>
      </c>
      <c r="E90" s="1" t="n">
        <v>28.6</v>
      </c>
      <c r="F90" s="1" t="n">
        <v>25.6</v>
      </c>
      <c r="G90" s="1" t="n">
        <v>24</v>
      </c>
      <c r="H90" s="1" t="n">
        <v>37.6</v>
      </c>
      <c r="I90" s="1" t="n">
        <v>36.9</v>
      </c>
      <c r="J90" s="1" t="n">
        <v>37.3</v>
      </c>
      <c r="N90" s="68" t="s">
        <v>10</v>
      </c>
      <c r="O90" s="68" t="n">
        <v>12</v>
      </c>
      <c r="P90" s="68" t="s">
        <v>9</v>
      </c>
      <c r="Q90" s="68" t="n">
        <v>15.7</v>
      </c>
      <c r="R90" s="68" t="n">
        <v>0.93</v>
      </c>
      <c r="S90" s="68"/>
      <c r="T90" s="68" t="n">
        <v>10</v>
      </c>
      <c r="U90" s="68" t="n">
        <v>2</v>
      </c>
      <c r="V90" s="68"/>
      <c r="W90" s="68"/>
      <c r="X90" s="68"/>
      <c r="Y90" s="68"/>
    </row>
    <row r="91" customFormat="false" ht="15" hidden="false" customHeight="false" outlineLevel="0" collapsed="false">
      <c r="D91" s="1" t="n">
        <v>31.3</v>
      </c>
      <c r="E91" s="1" t="n">
        <v>29.9</v>
      </c>
      <c r="F91" s="1" t="n">
        <v>36.1</v>
      </c>
      <c r="G91" s="1" t="n">
        <v>29.7</v>
      </c>
      <c r="H91" s="1" t="n">
        <v>29.1</v>
      </c>
      <c r="I91" s="1" t="n">
        <v>36.5</v>
      </c>
      <c r="J91" s="1" t="n">
        <v>26.1</v>
      </c>
      <c r="N91" s="68" t="s">
        <v>10</v>
      </c>
      <c r="O91" s="68" t="n">
        <v>24</v>
      </c>
      <c r="P91" s="68" t="s">
        <v>9</v>
      </c>
      <c r="Q91" s="68" t="n">
        <v>19.2</v>
      </c>
      <c r="R91" s="68" t="n">
        <v>1.73</v>
      </c>
      <c r="S91" s="68" t="s">
        <v>26</v>
      </c>
      <c r="T91" s="68" t="n">
        <v>24</v>
      </c>
      <c r="U91" s="68" t="n">
        <v>0</v>
      </c>
      <c r="V91" s="68"/>
      <c r="W91" s="68"/>
      <c r="X91" s="68"/>
      <c r="Y91" s="68"/>
    </row>
    <row r="92" customFormat="false" ht="15" hidden="false" customHeight="false" outlineLevel="0" collapsed="false">
      <c r="D92" s="1" t="n">
        <v>35.3</v>
      </c>
      <c r="E92" s="1" t="n">
        <v>33.4</v>
      </c>
      <c r="F92" s="1" t="n">
        <v>33.5</v>
      </c>
      <c r="G92" s="1" t="n">
        <v>33.7</v>
      </c>
      <c r="I92" s="1" t="n">
        <v>35.5</v>
      </c>
      <c r="J92" s="1" t="n">
        <v>33.2</v>
      </c>
    </row>
    <row r="93" customFormat="false" ht="15" hidden="false" customHeight="false" outlineLevel="0" collapsed="false">
      <c r="D93" s="1" t="n">
        <v>34.1</v>
      </c>
      <c r="E93" s="1" t="n">
        <v>21.5</v>
      </c>
      <c r="F93" s="1" t="n">
        <v>28.5</v>
      </c>
      <c r="G93" s="1" t="n">
        <v>30.4</v>
      </c>
      <c r="I93" s="1" t="n">
        <v>37.6</v>
      </c>
      <c r="J93" s="1" t="n">
        <v>27</v>
      </c>
    </row>
    <row r="94" customFormat="false" ht="15" hidden="false" customHeight="false" outlineLevel="0" collapsed="false">
      <c r="D94" s="1" t="n">
        <v>32.6</v>
      </c>
      <c r="E94" s="1" t="n">
        <v>33.1</v>
      </c>
      <c r="F94" s="1" t="n">
        <v>26.4</v>
      </c>
      <c r="G94" s="1" t="n">
        <v>30.8</v>
      </c>
      <c r="I94" s="1" t="n">
        <v>33.4</v>
      </c>
      <c r="J94" s="1" t="n">
        <v>28.3</v>
      </c>
    </row>
    <row r="95" customFormat="false" ht="15" hidden="false" customHeight="false" outlineLevel="0" collapsed="false">
      <c r="D95" s="1" t="n">
        <v>27.1</v>
      </c>
      <c r="E95" s="1" t="n">
        <v>23.3</v>
      </c>
      <c r="F95" s="1" t="n">
        <v>25.3</v>
      </c>
      <c r="G95" s="1" t="n">
        <v>30.6</v>
      </c>
      <c r="I95" s="1" t="n">
        <v>26.7</v>
      </c>
      <c r="J95" s="1" t="n">
        <v>37.6</v>
      </c>
    </row>
    <row r="96" customFormat="false" ht="15" hidden="false" customHeight="false" outlineLevel="0" collapsed="false">
      <c r="D96" s="1" t="n">
        <v>36.5</v>
      </c>
      <c r="E96" s="1" t="n">
        <v>33.5</v>
      </c>
      <c r="F96" s="1" t="n">
        <v>29.2</v>
      </c>
      <c r="G96" s="1" t="n">
        <v>23.4</v>
      </c>
      <c r="I96" s="1" t="n">
        <v>34.1</v>
      </c>
    </row>
    <row r="97" customFormat="false" ht="15" hidden="false" customHeight="false" outlineLevel="0" collapsed="false">
      <c r="D97" s="1" t="n">
        <v>32.5</v>
      </c>
      <c r="E97" s="1" t="n">
        <v>24.7</v>
      </c>
      <c r="F97" s="1" t="n">
        <v>35.7</v>
      </c>
      <c r="G97" s="1" t="n">
        <v>29.7</v>
      </c>
      <c r="I97" s="1" t="n">
        <v>29</v>
      </c>
    </row>
    <row r="98" customFormat="false" ht="15" hidden="false" customHeight="false" outlineLevel="0" collapsed="false">
      <c r="D98" s="96" t="n">
        <f aca="false">AVERAGE(D88:J97)</f>
        <v>30.8564516129032</v>
      </c>
      <c r="E98" s="96" t="n">
        <f aca="false">STDEV(D88:J97)</f>
        <v>4.30008085961876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3">
    <mergeCell ref="A75:L75"/>
    <mergeCell ref="N75:Y75"/>
    <mergeCell ref="AA75:AL75"/>
    <mergeCell ref="A76:L76"/>
    <mergeCell ref="N76:Y76"/>
    <mergeCell ref="AA76:AL76"/>
    <mergeCell ref="A77:L77"/>
    <mergeCell ref="N77:Y77"/>
    <mergeCell ref="AA77:AL77"/>
    <mergeCell ref="A78:L78"/>
    <mergeCell ref="N78:Y78"/>
    <mergeCell ref="AA78:AL78"/>
    <mergeCell ref="A79:L79"/>
    <mergeCell ref="N79:Y79"/>
    <mergeCell ref="AA79:AL79"/>
    <mergeCell ref="A80:L80"/>
    <mergeCell ref="N80:Y80"/>
    <mergeCell ref="AA80:AL80"/>
    <mergeCell ref="A81:L81"/>
    <mergeCell ref="N81:Y81"/>
    <mergeCell ref="AA81:AL81"/>
    <mergeCell ref="B87:D87"/>
    <mergeCell ref="I87:J8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048576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N2" activeCellId="1" sqref="A2:C2 N2"/>
    </sheetView>
  </sheetViews>
  <sheetFormatPr defaultColWidth="8.859375" defaultRowHeight="15" zeroHeight="false" outlineLevelRow="0" outlineLevelCol="0"/>
  <cols>
    <col collapsed="false" customWidth="true" hidden="false" outlineLevel="0" max="12" min="12" style="97" width="14.7"/>
    <col collapsed="false" customWidth="false" hidden="false" outlineLevel="0" max="13" min="13" style="98" width="8.86"/>
    <col collapsed="false" customWidth="true" hidden="false" outlineLevel="0" max="25" min="25" style="97" width="14.7"/>
    <col collapsed="false" customWidth="false" hidden="false" outlineLevel="0" max="26" min="26" style="98" width="8.86"/>
    <col collapsed="false" customWidth="true" hidden="false" outlineLevel="0" max="38" min="38" style="97" width="14.7"/>
    <col collapsed="false" customWidth="false" hidden="false" outlineLevel="0" max="39" min="39" style="99" width="8.86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n">
        <v>1</v>
      </c>
      <c r="I1" s="6" t="n">
        <v>0.75</v>
      </c>
      <c r="J1" s="6" t="n">
        <v>0.5</v>
      </c>
      <c r="K1" s="6" t="n">
        <v>0.25</v>
      </c>
      <c r="L1" s="7" t="n">
        <v>0</v>
      </c>
      <c r="M1" s="98" t="s">
        <v>7</v>
      </c>
      <c r="N1" s="3" t="s">
        <v>0</v>
      </c>
      <c r="O1" s="3" t="s">
        <v>1</v>
      </c>
      <c r="P1" s="3" t="s">
        <v>2</v>
      </c>
      <c r="Q1" s="4" t="s">
        <v>3</v>
      </c>
      <c r="R1" s="5" t="s">
        <v>4</v>
      </c>
      <c r="S1" s="5" t="s">
        <v>5</v>
      </c>
      <c r="T1" s="5" t="s">
        <v>6</v>
      </c>
      <c r="U1" s="6" t="n">
        <v>1</v>
      </c>
      <c r="V1" s="6" t="n">
        <v>0.75</v>
      </c>
      <c r="W1" s="6" t="n">
        <v>0.5</v>
      </c>
      <c r="X1" s="6" t="n">
        <v>0.25</v>
      </c>
      <c r="Y1" s="7" t="n">
        <v>0</v>
      </c>
      <c r="Z1" s="98" t="s">
        <v>7</v>
      </c>
      <c r="AA1" s="3" t="s">
        <v>0</v>
      </c>
      <c r="AB1" s="3" t="s">
        <v>1</v>
      </c>
      <c r="AC1" s="3" t="s">
        <v>2</v>
      </c>
      <c r="AD1" s="4" t="s">
        <v>3</v>
      </c>
      <c r="AE1" s="5" t="s">
        <v>4</v>
      </c>
      <c r="AF1" s="5" t="s">
        <v>5</v>
      </c>
      <c r="AG1" s="5" t="s">
        <v>6</v>
      </c>
      <c r="AH1" s="6" t="n">
        <v>1</v>
      </c>
      <c r="AI1" s="6" t="n">
        <v>0.75</v>
      </c>
      <c r="AJ1" s="6" t="n">
        <v>0.5</v>
      </c>
      <c r="AK1" s="6" t="n">
        <v>0.25</v>
      </c>
      <c r="AL1" s="7" t="n">
        <v>0</v>
      </c>
      <c r="AM1" s="98" t="s">
        <v>7</v>
      </c>
    </row>
    <row r="2" customFormat="false" ht="15" hidden="false" customHeight="false" outlineLevel="0" collapsed="false">
      <c r="A2" s="97" t="s">
        <v>35</v>
      </c>
      <c r="D2" s="97" t="n">
        <v>17.3</v>
      </c>
      <c r="E2" s="97" t="n">
        <v>1.33</v>
      </c>
      <c r="G2" s="97" t="n">
        <v>12</v>
      </c>
      <c r="H2" s="97" t="n">
        <v>0</v>
      </c>
      <c r="M2" s="98" t="n">
        <f aca="false">SUM(I2:L2)</f>
        <v>0</v>
      </c>
      <c r="N2" s="100" t="s">
        <v>36</v>
      </c>
      <c r="Q2" s="97" t="n">
        <v>17.9</v>
      </c>
      <c r="R2" s="97" t="n">
        <v>1.21</v>
      </c>
      <c r="T2" s="97" t="n">
        <v>10</v>
      </c>
      <c r="U2" s="97" t="n">
        <v>2</v>
      </c>
      <c r="Z2" s="98" t="n">
        <f aca="false">SUM(V2:Y2)</f>
        <v>0</v>
      </c>
      <c r="AA2" s="100" t="s">
        <v>37</v>
      </c>
      <c r="AD2" s="97" t="n">
        <v>17.4</v>
      </c>
      <c r="AE2" s="97" t="n">
        <v>1.21</v>
      </c>
      <c r="AG2" s="97" t="n">
        <v>5</v>
      </c>
      <c r="AH2" s="97" t="n">
        <v>6</v>
      </c>
      <c r="AI2" s="97" t="n">
        <v>1</v>
      </c>
      <c r="AM2" s="98" t="n">
        <f aca="false">SUM(AI2:AL2)</f>
        <v>1</v>
      </c>
    </row>
    <row r="3" customFormat="false" ht="15" hidden="false" customHeight="false" outlineLevel="0" collapsed="false">
      <c r="A3" s="97" t="s">
        <v>38</v>
      </c>
      <c r="D3" s="97" t="n">
        <v>17.6</v>
      </c>
      <c r="E3" s="97" t="n">
        <v>1.37</v>
      </c>
      <c r="G3" s="97" t="n">
        <v>4</v>
      </c>
      <c r="H3" s="101" t="n">
        <v>4</v>
      </c>
      <c r="J3" s="97" t="n">
        <v>1</v>
      </c>
      <c r="K3" s="97" t="n">
        <v>3</v>
      </c>
      <c r="M3" s="98" t="n">
        <f aca="false">SUM(I3:L3)</f>
        <v>4</v>
      </c>
      <c r="N3" s="100" t="s">
        <v>39</v>
      </c>
      <c r="Q3" s="97" t="n">
        <v>19.7</v>
      </c>
      <c r="R3" s="97" t="n">
        <v>1.73</v>
      </c>
      <c r="T3" s="97" t="n">
        <v>12</v>
      </c>
      <c r="U3" s="97" t="n">
        <v>0</v>
      </c>
      <c r="Z3" s="98" t="n">
        <f aca="false">SUM(V3:Y3)</f>
        <v>0</v>
      </c>
      <c r="AA3" s="100" t="s">
        <v>40</v>
      </c>
      <c r="AD3" s="97" t="n">
        <v>19.2</v>
      </c>
      <c r="AE3" s="97" t="n">
        <v>1.51</v>
      </c>
      <c r="AG3" s="97" t="n">
        <v>1</v>
      </c>
      <c r="AH3" s="97" t="n">
        <v>11</v>
      </c>
      <c r="AM3" s="98" t="n">
        <f aca="false">SUM(AI3:AL3)</f>
        <v>0</v>
      </c>
    </row>
    <row r="4" customFormat="false" ht="15" hidden="false" customHeight="false" outlineLevel="0" collapsed="false">
      <c r="A4" s="97" t="s">
        <v>41</v>
      </c>
      <c r="D4" s="97" t="n">
        <v>20.8</v>
      </c>
      <c r="E4" s="97" t="n">
        <v>2.06</v>
      </c>
      <c r="G4" s="97" t="n">
        <v>8</v>
      </c>
      <c r="H4" s="101" t="n">
        <v>4</v>
      </c>
      <c r="M4" s="98" t="n">
        <f aca="false">SUM(I4:L4)</f>
        <v>0</v>
      </c>
      <c r="N4" s="100" t="s">
        <v>42</v>
      </c>
      <c r="Q4" s="97" t="n">
        <v>17</v>
      </c>
      <c r="R4" s="97" t="n">
        <v>1.37</v>
      </c>
      <c r="T4" s="97" t="n">
        <v>11</v>
      </c>
      <c r="U4" s="97" t="n">
        <v>1</v>
      </c>
      <c r="Z4" s="98" t="n">
        <f aca="false">SUM(V4:Y4)</f>
        <v>0</v>
      </c>
      <c r="AA4" s="100" t="s">
        <v>43</v>
      </c>
      <c r="AD4" s="97" t="n">
        <v>19.2</v>
      </c>
      <c r="AE4" s="97" t="n">
        <v>1.82</v>
      </c>
      <c r="AG4" s="97" t="n">
        <v>0</v>
      </c>
      <c r="AH4" s="97" t="n">
        <v>12</v>
      </c>
      <c r="AM4" s="98" t="n">
        <f aca="false">SUM(AI4:AL4)</f>
        <v>0</v>
      </c>
    </row>
    <row r="5" customFormat="false" ht="15" hidden="false" customHeight="false" outlineLevel="0" collapsed="false">
      <c r="A5" s="97" t="s">
        <v>44</v>
      </c>
      <c r="D5" s="97" t="n">
        <v>18.3</v>
      </c>
      <c r="E5" s="97" t="n">
        <v>1.59</v>
      </c>
      <c r="G5" s="97" t="n">
        <v>7</v>
      </c>
      <c r="H5" s="101" t="n">
        <v>5</v>
      </c>
      <c r="M5" s="98" t="n">
        <f aca="false">SUM(I5:L5)</f>
        <v>0</v>
      </c>
      <c r="N5" s="100" t="s">
        <v>45</v>
      </c>
      <c r="Q5" s="97" t="n">
        <v>18.8</v>
      </c>
      <c r="R5" s="97" t="n">
        <v>1.48</v>
      </c>
      <c r="T5" s="97" t="n">
        <v>11</v>
      </c>
      <c r="U5" s="97" t="n">
        <v>1</v>
      </c>
      <c r="Z5" s="98" t="n">
        <f aca="false">SUM(V5:Y5)</f>
        <v>0</v>
      </c>
      <c r="AA5" s="100" t="s">
        <v>46</v>
      </c>
      <c r="AD5" s="97" t="n">
        <v>18.5</v>
      </c>
      <c r="AE5" s="97" t="n">
        <v>1.3</v>
      </c>
      <c r="AG5" s="97" t="n">
        <v>7</v>
      </c>
      <c r="AH5" s="97" t="n">
        <v>3</v>
      </c>
      <c r="AI5" s="97" t="n">
        <v>1</v>
      </c>
      <c r="AK5" s="97" t="n">
        <v>1</v>
      </c>
      <c r="AM5" s="98" t="n">
        <f aca="false">SUM(AI5:AL5)</f>
        <v>2</v>
      </c>
    </row>
    <row r="6" customFormat="false" ht="15" hidden="false" customHeight="false" outlineLevel="0" collapsed="false">
      <c r="A6" s="97" t="s">
        <v>47</v>
      </c>
      <c r="D6" s="97" t="n">
        <v>19.9</v>
      </c>
      <c r="E6" s="97" t="n">
        <v>1.7</v>
      </c>
      <c r="G6" s="97" t="n">
        <v>11</v>
      </c>
      <c r="H6" s="101" t="n">
        <v>1</v>
      </c>
      <c r="M6" s="98" t="n">
        <f aca="false">SUM(I6:L6)</f>
        <v>0</v>
      </c>
      <c r="N6" s="100" t="s">
        <v>48</v>
      </c>
      <c r="Q6" s="97" t="n">
        <v>18.1</v>
      </c>
      <c r="R6" s="97" t="n">
        <v>1.45</v>
      </c>
      <c r="T6" s="97" t="n">
        <v>8</v>
      </c>
      <c r="U6" s="97" t="n">
        <v>4</v>
      </c>
      <c r="Z6" s="98" t="n">
        <f aca="false">SUM(V6:Y6)</f>
        <v>0</v>
      </c>
      <c r="AA6" s="100" t="s">
        <v>49</v>
      </c>
      <c r="AD6" s="97" t="n">
        <v>20</v>
      </c>
      <c r="AE6" s="97" t="n">
        <v>1.86</v>
      </c>
      <c r="AG6" s="97" t="n">
        <v>3</v>
      </c>
      <c r="AH6" s="97" t="n">
        <v>9</v>
      </c>
      <c r="AM6" s="98" t="n">
        <f aca="false">SUM(AI6:AL6)</f>
        <v>0</v>
      </c>
    </row>
    <row r="7" customFormat="false" ht="15" hidden="false" customHeight="false" outlineLevel="0" collapsed="false">
      <c r="A7" s="97" t="s">
        <v>50</v>
      </c>
      <c r="D7" s="97" t="n">
        <v>19.6</v>
      </c>
      <c r="E7" s="97" t="n">
        <v>1.83</v>
      </c>
      <c r="G7" s="97" t="n">
        <v>9</v>
      </c>
      <c r="H7" s="101" t="n">
        <v>3</v>
      </c>
      <c r="M7" s="98" t="n">
        <f aca="false">SUM(I7:L7)</f>
        <v>0</v>
      </c>
      <c r="N7" s="100" t="s">
        <v>51</v>
      </c>
      <c r="Q7" s="97" t="n">
        <v>17.3</v>
      </c>
      <c r="R7" s="97" t="n">
        <v>1.29</v>
      </c>
      <c r="T7" s="97" t="n">
        <v>9</v>
      </c>
      <c r="U7" s="97" t="n">
        <v>3</v>
      </c>
      <c r="Z7" s="98" t="n">
        <f aca="false">SUM(V7:Y7)</f>
        <v>0</v>
      </c>
      <c r="AA7" s="100" t="s">
        <v>52</v>
      </c>
      <c r="AD7" s="97" t="n">
        <v>16.7</v>
      </c>
      <c r="AE7" s="97" t="n">
        <v>1.08</v>
      </c>
      <c r="AG7" s="97" t="n">
        <v>12</v>
      </c>
      <c r="AH7" s="97" t="n">
        <v>0</v>
      </c>
      <c r="AM7" s="98" t="n">
        <f aca="false">SUM(AI7:AL7)</f>
        <v>0</v>
      </c>
    </row>
    <row r="8" customFormat="false" ht="15" hidden="false" customHeight="false" outlineLevel="0" collapsed="false">
      <c r="A8" s="100" t="s">
        <v>53</v>
      </c>
      <c r="D8" s="97" t="n">
        <v>17.9</v>
      </c>
      <c r="E8" s="97" t="n">
        <v>1.41</v>
      </c>
      <c r="G8" s="97" t="n">
        <v>9</v>
      </c>
      <c r="H8" s="101" t="n">
        <v>3</v>
      </c>
      <c r="I8" s="97" t="n">
        <v>0</v>
      </c>
      <c r="J8" s="97" t="n">
        <v>0</v>
      </c>
      <c r="K8" s="97" t="n">
        <v>0</v>
      </c>
      <c r="M8" s="98" t="n">
        <f aca="false">SUM(I8:L8)</f>
        <v>0</v>
      </c>
      <c r="N8" s="100" t="s">
        <v>54</v>
      </c>
      <c r="Q8" s="97" t="n">
        <v>19.8</v>
      </c>
      <c r="R8" s="97" t="n">
        <v>1.85</v>
      </c>
      <c r="T8" s="97" t="n">
        <v>10</v>
      </c>
      <c r="U8" s="97" t="n">
        <v>1</v>
      </c>
      <c r="V8" s="97" t="n">
        <v>1</v>
      </c>
      <c r="W8" s="97" t="n">
        <v>0</v>
      </c>
      <c r="X8" s="97" t="n">
        <v>0</v>
      </c>
      <c r="Z8" s="98" t="n">
        <f aca="false">SUM(V8:Y8)</f>
        <v>1</v>
      </c>
      <c r="AA8" s="100" t="s">
        <v>55</v>
      </c>
      <c r="AD8" s="97" t="n">
        <v>16.1</v>
      </c>
      <c r="AE8" s="97" t="n">
        <v>0.93</v>
      </c>
      <c r="AG8" s="97" t="n">
        <v>9</v>
      </c>
      <c r="AH8" s="97" t="n">
        <v>3</v>
      </c>
      <c r="AI8" s="97" t="n">
        <v>0</v>
      </c>
      <c r="AM8" s="98" t="n">
        <f aca="false">SUM(AI8:AL8)</f>
        <v>0</v>
      </c>
    </row>
    <row r="9" customFormat="false" ht="15" hidden="false" customHeight="false" outlineLevel="0" collapsed="false">
      <c r="A9" s="100" t="s">
        <v>56</v>
      </c>
      <c r="D9" s="97" t="n">
        <v>17.9</v>
      </c>
      <c r="E9" s="97" t="n">
        <v>1.43</v>
      </c>
      <c r="G9" s="97" t="n">
        <v>11</v>
      </c>
      <c r="H9" s="101" t="n">
        <v>1</v>
      </c>
      <c r="I9" s="97" t="n">
        <v>0</v>
      </c>
      <c r="J9" s="97" t="n">
        <v>0</v>
      </c>
      <c r="K9" s="97" t="n">
        <v>0</v>
      </c>
      <c r="M9" s="98" t="n">
        <f aca="false">SUM(I9:L9)</f>
        <v>0</v>
      </c>
      <c r="N9" s="100" t="s">
        <v>57</v>
      </c>
      <c r="Q9" s="97" t="n">
        <v>20.5</v>
      </c>
      <c r="R9" s="97" t="n">
        <v>2.29</v>
      </c>
      <c r="T9" s="97" t="n">
        <v>12</v>
      </c>
      <c r="U9" s="97" t="n">
        <v>0</v>
      </c>
      <c r="V9" s="97" t="n">
        <v>0</v>
      </c>
      <c r="W9" s="97" t="n">
        <v>0</v>
      </c>
      <c r="X9" s="97" t="n">
        <v>0</v>
      </c>
      <c r="Z9" s="98" t="n">
        <f aca="false">SUM(V9:Y9)</f>
        <v>0</v>
      </c>
      <c r="AA9" s="100" t="s">
        <v>58</v>
      </c>
      <c r="AD9" s="97" t="n">
        <v>18.9</v>
      </c>
      <c r="AE9" s="97" t="n">
        <v>1.58</v>
      </c>
      <c r="AG9" s="97" t="n">
        <v>4</v>
      </c>
      <c r="AH9" s="97" t="n">
        <v>8</v>
      </c>
      <c r="AI9" s="97" t="n">
        <v>0</v>
      </c>
      <c r="AM9" s="98" t="n">
        <f aca="false">SUM(AI9:AL9)</f>
        <v>0</v>
      </c>
    </row>
    <row r="10" customFormat="false" ht="15" hidden="false" customHeight="false" outlineLevel="0" collapsed="false">
      <c r="A10" s="100" t="s">
        <v>59</v>
      </c>
      <c r="D10" s="97" t="n">
        <v>16.1</v>
      </c>
      <c r="E10" s="97" t="n">
        <v>1.02</v>
      </c>
      <c r="G10" s="97" t="n">
        <v>7</v>
      </c>
      <c r="H10" s="101" t="n">
        <v>5</v>
      </c>
      <c r="I10" s="97" t="n">
        <v>0</v>
      </c>
      <c r="J10" s="97" t="n">
        <v>0</v>
      </c>
      <c r="K10" s="97" t="n">
        <v>0</v>
      </c>
      <c r="M10" s="98" t="n">
        <f aca="false">SUM(I10:L10)</f>
        <v>0</v>
      </c>
      <c r="N10" s="100" t="s">
        <v>60</v>
      </c>
      <c r="Q10" s="97" t="n">
        <v>18.3</v>
      </c>
      <c r="R10" s="97" t="n">
        <v>1.85</v>
      </c>
      <c r="T10" s="97" t="n">
        <v>11</v>
      </c>
      <c r="U10" s="97" t="n">
        <v>1</v>
      </c>
      <c r="V10" s="97" t="n">
        <v>0</v>
      </c>
      <c r="W10" s="97" t="n">
        <v>0</v>
      </c>
      <c r="X10" s="97" t="n">
        <v>0</v>
      </c>
      <c r="Z10" s="98" t="n">
        <f aca="false">SUM(V10:Y10)</f>
        <v>0</v>
      </c>
      <c r="AA10" s="100" t="s">
        <v>61</v>
      </c>
      <c r="AD10" s="97" t="n">
        <v>18.4</v>
      </c>
      <c r="AE10" s="97" t="n">
        <v>1.48</v>
      </c>
      <c r="AG10" s="97" t="n">
        <v>5</v>
      </c>
      <c r="AH10" s="97" t="n">
        <v>7</v>
      </c>
      <c r="AI10" s="97" t="n">
        <v>0</v>
      </c>
      <c r="AM10" s="98" t="n">
        <f aca="false">SUM(AI10:AL10)</f>
        <v>0</v>
      </c>
    </row>
    <row r="11" customFormat="false" ht="15" hidden="false" customHeight="false" outlineLevel="0" collapsed="false">
      <c r="A11" s="100" t="s">
        <v>62</v>
      </c>
      <c r="D11" s="97" t="n">
        <v>17</v>
      </c>
      <c r="E11" s="97" t="n">
        <v>1.21</v>
      </c>
      <c r="G11" s="97" t="n">
        <v>9</v>
      </c>
      <c r="H11" s="101" t="n">
        <v>3</v>
      </c>
      <c r="I11" s="97" t="n">
        <v>0</v>
      </c>
      <c r="J11" s="97" t="n">
        <v>0</v>
      </c>
      <c r="K11" s="97" t="n">
        <v>0</v>
      </c>
      <c r="M11" s="98" t="n">
        <f aca="false">SUM(I11:L11)</f>
        <v>0</v>
      </c>
      <c r="N11" s="100" t="s">
        <v>63</v>
      </c>
      <c r="Q11" s="97" t="n">
        <v>18.4</v>
      </c>
      <c r="R11" s="97" t="n">
        <v>1.54</v>
      </c>
      <c r="T11" s="97" t="n">
        <v>3</v>
      </c>
      <c r="U11" s="97" t="n">
        <v>8</v>
      </c>
      <c r="V11" s="97" t="n">
        <v>0</v>
      </c>
      <c r="W11" s="97" t="n">
        <v>0</v>
      </c>
      <c r="X11" s="97" t="n">
        <v>0</v>
      </c>
      <c r="Z11" s="98" t="n">
        <f aca="false">SUM(V11:Y11)</f>
        <v>0</v>
      </c>
      <c r="AA11" s="100" t="s">
        <v>64</v>
      </c>
      <c r="AD11" s="97" t="n">
        <v>20.4</v>
      </c>
      <c r="AE11" s="97" t="n">
        <v>1.81</v>
      </c>
      <c r="AG11" s="97" t="n">
        <v>0</v>
      </c>
      <c r="AH11" s="97" t="n">
        <v>12</v>
      </c>
      <c r="AI11" s="97" t="n">
        <v>0</v>
      </c>
      <c r="AM11" s="98" t="n">
        <f aca="false">SUM(AI11:AL11)</f>
        <v>0</v>
      </c>
    </row>
    <row r="12" customFormat="false" ht="15" hidden="false" customHeight="false" outlineLevel="0" collapsed="false">
      <c r="A12" s="100" t="s">
        <v>65</v>
      </c>
      <c r="D12" s="97" t="n">
        <v>16.9</v>
      </c>
      <c r="E12" s="97" t="n">
        <v>1.24</v>
      </c>
      <c r="G12" s="97" t="n">
        <v>9</v>
      </c>
      <c r="H12" s="101" t="n">
        <v>3</v>
      </c>
      <c r="I12" s="97" t="n">
        <v>0</v>
      </c>
      <c r="J12" s="97" t="n">
        <v>0</v>
      </c>
      <c r="K12" s="97" t="n">
        <v>0</v>
      </c>
      <c r="M12" s="98" t="n">
        <f aca="false">SUM(I12:L12)</f>
        <v>0</v>
      </c>
      <c r="N12" s="100" t="s">
        <v>66</v>
      </c>
      <c r="Q12" s="97" t="n">
        <v>15.5</v>
      </c>
      <c r="R12" s="97" t="n">
        <v>1.95</v>
      </c>
      <c r="T12" s="97" t="n">
        <v>9</v>
      </c>
      <c r="U12" s="97" t="n">
        <v>3</v>
      </c>
      <c r="V12" s="97" t="n">
        <v>0</v>
      </c>
      <c r="W12" s="97" t="n">
        <v>0</v>
      </c>
      <c r="X12" s="97" t="n">
        <v>0</v>
      </c>
      <c r="Z12" s="98" t="n">
        <f aca="false">SUM(V12:Y12)</f>
        <v>0</v>
      </c>
      <c r="AA12" s="100" t="s">
        <v>67</v>
      </c>
      <c r="AD12" s="97" t="n">
        <v>16.9</v>
      </c>
      <c r="AE12" s="97" t="n">
        <v>1.4</v>
      </c>
      <c r="AG12" s="97" t="n">
        <v>8</v>
      </c>
      <c r="AH12" s="97" t="n">
        <v>3</v>
      </c>
      <c r="AI12" s="97" t="n">
        <v>1</v>
      </c>
      <c r="AM12" s="98" t="n">
        <f aca="false">SUM(AI12:AL12)</f>
        <v>1</v>
      </c>
    </row>
    <row r="13" customFormat="false" ht="15" hidden="false" customHeight="false" outlineLevel="0" collapsed="false">
      <c r="A13" s="100" t="s">
        <v>68</v>
      </c>
      <c r="D13" s="97" t="n">
        <v>17.6</v>
      </c>
      <c r="E13" s="97" t="n">
        <v>1.43</v>
      </c>
      <c r="G13" s="97" t="n">
        <v>6</v>
      </c>
      <c r="H13" s="101" t="n">
        <v>6</v>
      </c>
      <c r="I13" s="97" t="n">
        <v>0</v>
      </c>
      <c r="J13" s="97" t="n">
        <v>0</v>
      </c>
      <c r="K13" s="97" t="n">
        <v>0</v>
      </c>
      <c r="M13" s="98" t="n">
        <f aca="false">SUM(I13:L13)</f>
        <v>0</v>
      </c>
      <c r="N13" s="100" t="s">
        <v>69</v>
      </c>
      <c r="Q13" s="97" t="n">
        <v>17.1</v>
      </c>
      <c r="R13" s="97" t="n">
        <v>1.57</v>
      </c>
      <c r="T13" s="97" t="n">
        <v>10</v>
      </c>
      <c r="U13" s="97" t="n">
        <v>2</v>
      </c>
      <c r="V13" s="97" t="n">
        <v>0</v>
      </c>
      <c r="W13" s="97" t="n">
        <v>0</v>
      </c>
      <c r="X13" s="97" t="n">
        <v>0</v>
      </c>
      <c r="Z13" s="98" t="n">
        <f aca="false">SUM(V13:Y13)</f>
        <v>0</v>
      </c>
      <c r="AA13" s="100" t="s">
        <v>70</v>
      </c>
      <c r="AD13" s="97" t="n">
        <v>20.1</v>
      </c>
      <c r="AE13" s="97" t="n">
        <v>1.79</v>
      </c>
      <c r="AG13" s="97" t="n">
        <v>3</v>
      </c>
      <c r="AH13" s="97" t="n">
        <v>9</v>
      </c>
      <c r="AI13" s="97" t="n">
        <v>0</v>
      </c>
      <c r="AM13" s="98" t="n">
        <f aca="false">SUM(AI13:AL13)</f>
        <v>0</v>
      </c>
    </row>
    <row r="14" customFormat="false" ht="15" hidden="false" customHeight="false" outlineLevel="0" collapsed="false">
      <c r="A14" s="100" t="s">
        <v>71</v>
      </c>
      <c r="D14" s="97" t="n">
        <v>16</v>
      </c>
      <c r="E14" s="97" t="n">
        <v>0.96</v>
      </c>
      <c r="G14" s="97" t="n">
        <v>10</v>
      </c>
      <c r="H14" s="101" t="n">
        <v>1</v>
      </c>
      <c r="I14" s="97" t="n">
        <v>1</v>
      </c>
      <c r="J14" s="97" t="n">
        <v>0</v>
      </c>
      <c r="K14" s="97" t="n">
        <v>0</v>
      </c>
      <c r="M14" s="98" t="n">
        <f aca="false">SUM(I14:L14)</f>
        <v>1</v>
      </c>
      <c r="N14" s="100" t="s">
        <v>72</v>
      </c>
      <c r="Q14" s="97" t="n">
        <v>16.7</v>
      </c>
      <c r="R14" s="97" t="n">
        <v>1.31</v>
      </c>
      <c r="T14" s="97" t="n">
        <v>9</v>
      </c>
      <c r="U14" s="97" t="n">
        <v>3</v>
      </c>
      <c r="V14" s="97" t="n">
        <v>0</v>
      </c>
      <c r="W14" s="97" t="n">
        <v>0</v>
      </c>
      <c r="X14" s="97" t="n">
        <v>0</v>
      </c>
      <c r="Z14" s="98" t="n">
        <f aca="false">SUM(V14:Y14)</f>
        <v>0</v>
      </c>
      <c r="AA14" s="100" t="s">
        <v>73</v>
      </c>
      <c r="AD14" s="97" t="n">
        <v>18.1</v>
      </c>
      <c r="AE14" s="97" t="n">
        <v>1.58</v>
      </c>
      <c r="AG14" s="97" t="n">
        <v>5</v>
      </c>
      <c r="AH14" s="97" t="n">
        <v>7</v>
      </c>
      <c r="AI14" s="97" t="n">
        <v>0</v>
      </c>
      <c r="AM14" s="98" t="n">
        <f aca="false">SUM(AI14:AL14)</f>
        <v>0</v>
      </c>
    </row>
    <row r="15" customFormat="false" ht="15" hidden="false" customHeight="false" outlineLevel="0" collapsed="false">
      <c r="A15" s="97" t="s">
        <v>74</v>
      </c>
      <c r="D15" s="97" t="n">
        <v>17.5</v>
      </c>
      <c r="E15" s="97" t="n">
        <v>1.33</v>
      </c>
      <c r="G15" s="97" t="n">
        <v>8</v>
      </c>
      <c r="H15" s="97" t="n">
        <v>4</v>
      </c>
      <c r="M15" s="98" t="n">
        <f aca="false">SUM(I15:L15)</f>
        <v>0</v>
      </c>
      <c r="N15" s="100" t="s">
        <v>75</v>
      </c>
      <c r="Q15" s="97" t="n">
        <v>18.3</v>
      </c>
      <c r="R15" s="97" t="n">
        <v>18.3</v>
      </c>
      <c r="T15" s="97" t="n">
        <v>9</v>
      </c>
      <c r="U15" s="97" t="n">
        <v>2</v>
      </c>
      <c r="V15" s="97" t="n">
        <v>1</v>
      </c>
      <c r="Z15" s="98" t="n">
        <f aca="false">SUM(V15:Y15)</f>
        <v>1</v>
      </c>
      <c r="AA15" s="102" t="s">
        <v>76</v>
      </c>
      <c r="AD15" s="97" t="n">
        <v>17.7</v>
      </c>
      <c r="AE15" s="97" t="n">
        <v>1.38</v>
      </c>
      <c r="AG15" s="97" t="n">
        <v>3</v>
      </c>
      <c r="AH15" s="97" t="n">
        <v>8</v>
      </c>
      <c r="AK15" s="97" t="n">
        <v>1</v>
      </c>
      <c r="AM15" s="98" t="n">
        <f aca="false">SUM(AI15:AL15)</f>
        <v>1</v>
      </c>
    </row>
    <row r="16" customFormat="false" ht="15" hidden="false" customHeight="false" outlineLevel="0" collapsed="false">
      <c r="A16" s="97" t="s">
        <v>35</v>
      </c>
      <c r="D16" s="97" t="n">
        <v>20.2</v>
      </c>
      <c r="E16" s="97" t="n">
        <v>1.78</v>
      </c>
      <c r="G16" s="97" t="n">
        <v>6</v>
      </c>
      <c r="H16" s="97" t="n">
        <v>6</v>
      </c>
      <c r="M16" s="98" t="n">
        <f aca="false">SUM(I16:L16)</f>
        <v>0</v>
      </c>
      <c r="N16" s="100" t="s">
        <v>36</v>
      </c>
      <c r="Q16" s="97" t="n">
        <v>21.3</v>
      </c>
      <c r="R16" s="97" t="n">
        <v>21.3</v>
      </c>
      <c r="T16" s="97" t="n">
        <v>6</v>
      </c>
      <c r="U16" s="97" t="n">
        <v>6</v>
      </c>
      <c r="Z16" s="98" t="n">
        <f aca="false">SUM(V16:Y16)</f>
        <v>0</v>
      </c>
      <c r="AA16" s="102" t="s">
        <v>37</v>
      </c>
      <c r="AD16" s="97" t="n">
        <v>17.9</v>
      </c>
      <c r="AE16" s="97" t="n">
        <v>1.33</v>
      </c>
      <c r="AG16" s="97" t="n">
        <v>9</v>
      </c>
      <c r="AH16" s="97" t="n">
        <v>3</v>
      </c>
      <c r="AM16" s="98" t="n">
        <f aca="false">SUM(AI16:AL16)</f>
        <v>0</v>
      </c>
    </row>
    <row r="17" customFormat="false" ht="15" hidden="false" customHeight="false" outlineLevel="0" collapsed="false">
      <c r="A17" s="97" t="s">
        <v>38</v>
      </c>
      <c r="D17" s="97" t="n">
        <v>18.8</v>
      </c>
      <c r="E17" s="97" t="n">
        <v>1.79</v>
      </c>
      <c r="G17" s="97" t="n">
        <v>8</v>
      </c>
      <c r="H17" s="97" t="n">
        <v>4</v>
      </c>
      <c r="M17" s="98" t="n">
        <f aca="false">SUM(I17:L17)</f>
        <v>0</v>
      </c>
      <c r="N17" s="100" t="s">
        <v>39</v>
      </c>
      <c r="Q17" s="97" t="n">
        <v>17</v>
      </c>
      <c r="R17" s="97" t="n">
        <v>17</v>
      </c>
      <c r="T17" s="97" t="n">
        <v>11</v>
      </c>
      <c r="U17" s="97" t="n">
        <v>1</v>
      </c>
      <c r="Z17" s="98" t="n">
        <f aca="false">SUM(V17:Y17)</f>
        <v>0</v>
      </c>
      <c r="AA17" s="102" t="s">
        <v>40</v>
      </c>
      <c r="AD17" s="97" t="n">
        <v>18.7</v>
      </c>
      <c r="AE17" s="97" t="n">
        <v>1.52</v>
      </c>
      <c r="AG17" s="97" t="n">
        <v>2</v>
      </c>
      <c r="AH17" s="97" t="n">
        <v>10</v>
      </c>
      <c r="AM17" s="98" t="n">
        <f aca="false">SUM(AI17:AL17)</f>
        <v>0</v>
      </c>
    </row>
    <row r="18" customFormat="false" ht="15" hidden="false" customHeight="false" outlineLevel="0" collapsed="false">
      <c r="A18" s="97" t="s">
        <v>41</v>
      </c>
      <c r="D18" s="97" t="n">
        <v>16.7</v>
      </c>
      <c r="E18" s="97" t="n">
        <v>1.22</v>
      </c>
      <c r="G18" s="97" t="n">
        <v>12</v>
      </c>
      <c r="M18" s="98" t="n">
        <f aca="false">SUM(I18:L18)</f>
        <v>0</v>
      </c>
      <c r="N18" s="100" t="s">
        <v>42</v>
      </c>
      <c r="Q18" s="97" t="n">
        <v>18</v>
      </c>
      <c r="R18" s="97" t="n">
        <v>18</v>
      </c>
      <c r="T18" s="97" t="n">
        <v>12</v>
      </c>
      <c r="Z18" s="98" t="n">
        <f aca="false">SUM(V18:Y18)</f>
        <v>0</v>
      </c>
      <c r="AA18" s="102" t="s">
        <v>43</v>
      </c>
      <c r="AD18" s="97" t="n">
        <v>18.4</v>
      </c>
      <c r="AE18" s="97" t="n">
        <v>1.53</v>
      </c>
      <c r="AG18" s="97" t="n">
        <v>3</v>
      </c>
      <c r="AH18" s="97" t="n">
        <v>9</v>
      </c>
      <c r="AM18" s="98" t="n">
        <f aca="false">SUM(AI18:AL18)</f>
        <v>0</v>
      </c>
    </row>
    <row r="19" customFormat="false" ht="15" hidden="false" customHeight="false" outlineLevel="0" collapsed="false">
      <c r="A19" s="97" t="s">
        <v>44</v>
      </c>
      <c r="D19" s="97" t="n">
        <v>16.8</v>
      </c>
      <c r="E19" s="97" t="n">
        <v>1.13</v>
      </c>
      <c r="G19" s="97" t="n">
        <v>11</v>
      </c>
      <c r="I19" s="97" t="n">
        <v>1</v>
      </c>
      <c r="M19" s="98" t="n">
        <f aca="false">SUM(I19:L19)</f>
        <v>1</v>
      </c>
      <c r="N19" s="100" t="s">
        <v>45</v>
      </c>
      <c r="Q19" s="97" t="n">
        <v>16</v>
      </c>
      <c r="R19" s="97" t="n">
        <v>16</v>
      </c>
      <c r="T19" s="97" t="n">
        <v>11</v>
      </c>
      <c r="W19" s="97" t="n">
        <v>1</v>
      </c>
      <c r="Z19" s="98" t="n">
        <f aca="false">SUM(V19:Y19)</f>
        <v>1</v>
      </c>
      <c r="AA19" s="102" t="s">
        <v>46</v>
      </c>
      <c r="AD19" s="97" t="n">
        <v>16.8</v>
      </c>
      <c r="AE19" s="97" t="n">
        <v>1.12</v>
      </c>
      <c r="AG19" s="97" t="n">
        <v>6</v>
      </c>
      <c r="AH19" s="97" t="n">
        <v>6</v>
      </c>
      <c r="AM19" s="98" t="n">
        <f aca="false">SUM(AI19:AL19)</f>
        <v>0</v>
      </c>
    </row>
    <row r="20" customFormat="false" ht="15" hidden="false" customHeight="false" outlineLevel="0" collapsed="false">
      <c r="A20" s="97" t="s">
        <v>47</v>
      </c>
      <c r="D20" s="97" t="n">
        <v>16</v>
      </c>
      <c r="E20" s="97" t="n">
        <v>0.96</v>
      </c>
      <c r="G20" s="97" t="n">
        <v>7</v>
      </c>
      <c r="H20" s="97" t="n">
        <v>4</v>
      </c>
      <c r="J20" s="97" t="n">
        <v>1</v>
      </c>
      <c r="M20" s="98" t="n">
        <f aca="false">SUM(I20:L20)</f>
        <v>1</v>
      </c>
      <c r="N20" s="100" t="s">
        <v>48</v>
      </c>
      <c r="Q20" s="97" t="n">
        <v>20.4</v>
      </c>
      <c r="R20" s="97" t="n">
        <v>20.4</v>
      </c>
      <c r="T20" s="97" t="n">
        <v>10</v>
      </c>
      <c r="U20" s="97" t="n">
        <v>2</v>
      </c>
      <c r="Z20" s="98" t="n">
        <f aca="false">SUM(V20:Y20)</f>
        <v>0</v>
      </c>
      <c r="AA20" s="102" t="s">
        <v>49</v>
      </c>
      <c r="AD20" s="97" t="n">
        <v>16.8</v>
      </c>
      <c r="AE20" s="97" t="n">
        <v>0.97</v>
      </c>
      <c r="AG20" s="97" t="n">
        <v>4</v>
      </c>
      <c r="AH20" s="97" t="n">
        <v>8</v>
      </c>
      <c r="AM20" s="98" t="n">
        <f aca="false">SUM(AI20:AL20)</f>
        <v>0</v>
      </c>
    </row>
    <row r="21" customFormat="false" ht="15" hidden="false" customHeight="false" outlineLevel="0" collapsed="false">
      <c r="A21" s="97" t="s">
        <v>50</v>
      </c>
      <c r="D21" s="97" t="n">
        <v>17.5</v>
      </c>
      <c r="E21" s="97" t="n">
        <v>1.29</v>
      </c>
      <c r="G21" s="97" t="n">
        <v>5</v>
      </c>
      <c r="H21" s="97" t="n">
        <v>7</v>
      </c>
      <c r="M21" s="98" t="n">
        <f aca="false">SUM(I21:L21)</f>
        <v>0</v>
      </c>
      <c r="N21" s="100" t="s">
        <v>51</v>
      </c>
      <c r="Q21" s="97" t="n">
        <v>20.8</v>
      </c>
      <c r="R21" s="97" t="n">
        <v>20.8</v>
      </c>
      <c r="T21" s="97" t="n">
        <v>7</v>
      </c>
      <c r="U21" s="97" t="n">
        <v>5</v>
      </c>
      <c r="Z21" s="98" t="n">
        <f aca="false">SUM(V21:Y21)</f>
        <v>0</v>
      </c>
      <c r="AA21" s="102" t="s">
        <v>52</v>
      </c>
      <c r="AD21" s="97" t="n">
        <v>17</v>
      </c>
      <c r="AE21" s="97" t="n">
        <v>1.25</v>
      </c>
      <c r="AG21" s="97" t="n">
        <v>6</v>
      </c>
      <c r="AH21" s="97" t="n">
        <v>6</v>
      </c>
      <c r="AM21" s="98" t="n">
        <f aca="false">SUM(AI21:AL21)</f>
        <v>0</v>
      </c>
    </row>
    <row r="22" customFormat="false" ht="15" hidden="false" customHeight="false" outlineLevel="0" collapsed="false">
      <c r="A22" s="97" t="s">
        <v>53</v>
      </c>
      <c r="D22" s="97" t="n">
        <v>16.2</v>
      </c>
      <c r="E22" s="97" t="n">
        <v>1.06</v>
      </c>
      <c r="G22" s="97" t="n">
        <v>10</v>
      </c>
      <c r="H22" s="97" t="n">
        <v>2</v>
      </c>
      <c r="M22" s="98" t="n">
        <f aca="false">SUM(I22:L22)</f>
        <v>0</v>
      </c>
      <c r="N22" s="100" t="s">
        <v>54</v>
      </c>
      <c r="Q22" s="97" t="n">
        <v>16.2</v>
      </c>
      <c r="R22" s="97" t="n">
        <v>1.23</v>
      </c>
      <c r="T22" s="97" t="n">
        <v>10</v>
      </c>
      <c r="U22" s="97" t="n">
        <v>2</v>
      </c>
      <c r="Z22" s="98" t="n">
        <f aca="false">SUM(V22:Y22)</f>
        <v>0</v>
      </c>
      <c r="AA22" s="100" t="s">
        <v>55</v>
      </c>
      <c r="AD22" s="97" t="n">
        <v>16.7</v>
      </c>
      <c r="AE22" s="97" t="n">
        <v>1.8</v>
      </c>
      <c r="AG22" s="97" t="n">
        <v>3</v>
      </c>
      <c r="AH22" s="97" t="n">
        <v>9</v>
      </c>
      <c r="AM22" s="98" t="n">
        <f aca="false">SUM(AI22:AL22)</f>
        <v>0</v>
      </c>
    </row>
    <row r="23" customFormat="false" ht="15" hidden="false" customHeight="false" outlineLevel="0" collapsed="false">
      <c r="A23" s="97" t="s">
        <v>56</v>
      </c>
      <c r="D23" s="97" t="n">
        <v>19.9</v>
      </c>
      <c r="E23" s="97" t="n">
        <v>1.71</v>
      </c>
      <c r="G23" s="97" t="n">
        <v>11</v>
      </c>
      <c r="H23" s="97" t="n">
        <v>1</v>
      </c>
      <c r="M23" s="98" t="n">
        <f aca="false">SUM(I23:L23)</f>
        <v>0</v>
      </c>
      <c r="N23" s="100" t="s">
        <v>57</v>
      </c>
      <c r="Q23" s="97" t="n">
        <v>16.6</v>
      </c>
      <c r="R23" s="97" t="n">
        <v>1.26</v>
      </c>
      <c r="T23" s="97" t="n">
        <v>8</v>
      </c>
      <c r="U23" s="97" t="n">
        <v>4</v>
      </c>
      <c r="Z23" s="98" t="n">
        <f aca="false">SUM(V23:Y23)</f>
        <v>0</v>
      </c>
      <c r="AA23" s="100" t="s">
        <v>58</v>
      </c>
      <c r="AD23" s="97" t="n">
        <v>18.3</v>
      </c>
      <c r="AE23" s="97" t="n">
        <v>1.37</v>
      </c>
      <c r="AG23" s="97" t="n">
        <v>12</v>
      </c>
      <c r="AH23" s="97" t="n">
        <v>0</v>
      </c>
      <c r="AM23" s="98" t="n">
        <f aca="false">SUM(AI23:AL23)</f>
        <v>0</v>
      </c>
    </row>
    <row r="24" customFormat="false" ht="15" hidden="false" customHeight="false" outlineLevel="0" collapsed="false">
      <c r="A24" s="97" t="s">
        <v>59</v>
      </c>
      <c r="D24" s="97" t="n">
        <v>16.7</v>
      </c>
      <c r="E24" s="97" t="n">
        <v>1.24</v>
      </c>
      <c r="G24" s="97" t="n">
        <v>5</v>
      </c>
      <c r="H24" s="97" t="n">
        <v>6</v>
      </c>
      <c r="I24" s="97" t="n">
        <v>1</v>
      </c>
      <c r="M24" s="98" t="n">
        <f aca="false">SUM(I24:L24)</f>
        <v>1</v>
      </c>
      <c r="N24" s="100" t="s">
        <v>60</v>
      </c>
      <c r="Q24" s="97" t="n">
        <v>16.3</v>
      </c>
      <c r="R24" s="97" t="n">
        <v>1.09</v>
      </c>
      <c r="T24" s="97" t="n">
        <v>10</v>
      </c>
      <c r="U24" s="97" t="n">
        <v>2</v>
      </c>
      <c r="Z24" s="98" t="n">
        <f aca="false">SUM(V24:Y24)</f>
        <v>0</v>
      </c>
      <c r="AA24" s="100" t="s">
        <v>61</v>
      </c>
      <c r="AD24" s="97" t="n">
        <v>16.7</v>
      </c>
      <c r="AE24" s="97" t="n">
        <v>1.12</v>
      </c>
      <c r="AG24" s="97" t="n">
        <v>3</v>
      </c>
      <c r="AH24" s="97" t="n">
        <v>9</v>
      </c>
      <c r="AM24" s="98" t="n">
        <f aca="false">SUM(AI24:AL24)</f>
        <v>0</v>
      </c>
    </row>
    <row r="25" customFormat="false" ht="15" hidden="false" customHeight="false" outlineLevel="0" collapsed="false">
      <c r="A25" s="97" t="s">
        <v>62</v>
      </c>
      <c r="D25" s="97" t="n">
        <v>17.2</v>
      </c>
      <c r="E25" s="97" t="n">
        <v>1.24</v>
      </c>
      <c r="G25" s="97" t="n">
        <v>10</v>
      </c>
      <c r="H25" s="97" t="n">
        <v>1</v>
      </c>
      <c r="I25" s="97" t="n">
        <v>1</v>
      </c>
      <c r="M25" s="98" t="n">
        <f aca="false">SUM(I25:L25)</f>
        <v>1</v>
      </c>
      <c r="N25" s="100" t="s">
        <v>63</v>
      </c>
      <c r="Q25" s="97" t="n">
        <v>17.1</v>
      </c>
      <c r="R25" s="97" t="n">
        <v>1.4</v>
      </c>
      <c r="T25" s="97" t="n">
        <v>8</v>
      </c>
      <c r="U25" s="97" t="n">
        <v>4</v>
      </c>
      <c r="Z25" s="98" t="n">
        <f aca="false">SUM(V25:Y25)</f>
        <v>0</v>
      </c>
      <c r="AA25" s="100" t="s">
        <v>64</v>
      </c>
      <c r="AD25" s="97" t="n">
        <v>18.6</v>
      </c>
      <c r="AE25" s="97" t="n">
        <v>1.51</v>
      </c>
      <c r="AG25" s="97" t="n">
        <v>3</v>
      </c>
      <c r="AH25" s="97" t="n">
        <v>9</v>
      </c>
      <c r="AM25" s="98" t="n">
        <f aca="false">SUM(AI25:AL25)</f>
        <v>0</v>
      </c>
    </row>
    <row r="26" customFormat="false" ht="15" hidden="false" customHeight="false" outlineLevel="0" collapsed="false">
      <c r="A26" s="97" t="s">
        <v>65</v>
      </c>
      <c r="D26" s="97" t="n">
        <v>17.9</v>
      </c>
      <c r="E26" s="97" t="n">
        <v>1.45</v>
      </c>
      <c r="G26" s="97" t="n">
        <v>8</v>
      </c>
      <c r="H26" s="97" t="n">
        <v>4</v>
      </c>
      <c r="M26" s="98" t="n">
        <f aca="false">SUM(I26:L26)</f>
        <v>0</v>
      </c>
      <c r="N26" s="100" t="s">
        <v>66</v>
      </c>
      <c r="Q26" s="97" t="n">
        <v>17.6</v>
      </c>
      <c r="R26" s="97" t="n">
        <v>1.44</v>
      </c>
      <c r="T26" s="97" t="n">
        <v>9</v>
      </c>
      <c r="U26" s="97" t="n">
        <v>2</v>
      </c>
      <c r="W26" s="97" t="n">
        <v>1</v>
      </c>
      <c r="Z26" s="98" t="n">
        <f aca="false">SUM(V26:Y26)</f>
        <v>1</v>
      </c>
      <c r="AA26" s="100" t="s">
        <v>67</v>
      </c>
      <c r="AD26" s="97" t="n">
        <v>17</v>
      </c>
      <c r="AE26" s="97" t="n">
        <v>1.4</v>
      </c>
      <c r="AG26" s="97" t="n">
        <v>6</v>
      </c>
      <c r="AH26" s="97" t="n">
        <v>6</v>
      </c>
      <c r="AM26" s="98" t="n">
        <f aca="false">SUM(AI26:AL26)</f>
        <v>0</v>
      </c>
    </row>
    <row r="27" customFormat="false" ht="15" hidden="false" customHeight="false" outlineLevel="0" collapsed="false">
      <c r="A27" s="97" t="s">
        <v>68</v>
      </c>
      <c r="D27" s="97" t="n">
        <v>17.6</v>
      </c>
      <c r="E27" s="97" t="n">
        <v>1.33</v>
      </c>
      <c r="G27" s="97" t="n">
        <v>8</v>
      </c>
      <c r="H27" s="97" t="n">
        <v>4</v>
      </c>
      <c r="M27" s="98" t="n">
        <f aca="false">SUM(I27:L27)</f>
        <v>0</v>
      </c>
      <c r="N27" s="100" t="s">
        <v>69</v>
      </c>
      <c r="Q27" s="97" t="n">
        <v>20.6</v>
      </c>
      <c r="R27" s="97" t="n">
        <v>2.21</v>
      </c>
      <c r="T27" s="97" t="n">
        <v>9</v>
      </c>
      <c r="U27" s="97" t="n">
        <v>3</v>
      </c>
      <c r="Z27" s="98" t="n">
        <f aca="false">SUM(V27:Y27)</f>
        <v>0</v>
      </c>
      <c r="AA27" s="100" t="s">
        <v>70</v>
      </c>
      <c r="AD27" s="97" t="n">
        <v>18</v>
      </c>
      <c r="AE27" s="97" t="n">
        <v>1.37</v>
      </c>
      <c r="AG27" s="97" t="n">
        <v>3</v>
      </c>
      <c r="AH27" s="97" t="n">
        <v>9</v>
      </c>
      <c r="AM27" s="98" t="n">
        <f aca="false">SUM(AI27:AL27)</f>
        <v>0</v>
      </c>
    </row>
    <row r="28" customFormat="false" ht="15" hidden="false" customHeight="false" outlineLevel="0" collapsed="false">
      <c r="A28" s="97" t="s">
        <v>71</v>
      </c>
      <c r="D28" s="97" t="n">
        <v>17.2</v>
      </c>
      <c r="E28" s="97" t="n">
        <v>1.31</v>
      </c>
      <c r="G28" s="97" t="n">
        <v>12</v>
      </c>
      <c r="H28" s="97" t="n">
        <v>0</v>
      </c>
      <c r="M28" s="98" t="n">
        <f aca="false">SUM(I28:L28)</f>
        <v>0</v>
      </c>
      <c r="N28" s="100" t="s">
        <v>72</v>
      </c>
      <c r="Q28" s="97" t="n">
        <v>16</v>
      </c>
      <c r="R28" s="97" t="n">
        <v>1.3</v>
      </c>
      <c r="T28" s="97" t="n">
        <v>10</v>
      </c>
      <c r="U28" s="97" t="n">
        <v>2</v>
      </c>
      <c r="Z28" s="98" t="n">
        <f aca="false">SUM(V28:Y28)</f>
        <v>0</v>
      </c>
      <c r="AA28" s="100" t="s">
        <v>73</v>
      </c>
      <c r="AD28" s="97" t="n">
        <v>17</v>
      </c>
      <c r="AE28" s="97" t="n">
        <v>1.2</v>
      </c>
      <c r="AG28" s="97" t="n">
        <v>5</v>
      </c>
      <c r="AH28" s="97" t="n">
        <v>7</v>
      </c>
      <c r="AM28" s="98" t="n">
        <f aca="false">SUM(AI28:AL28)</f>
        <v>0</v>
      </c>
    </row>
    <row r="29" customFormat="false" ht="15" hidden="false" customHeight="false" outlineLevel="0" collapsed="false">
      <c r="A29" s="97" t="s">
        <v>77</v>
      </c>
      <c r="D29" s="97" t="n">
        <v>17.4</v>
      </c>
      <c r="E29" s="97" t="n">
        <v>1.28</v>
      </c>
      <c r="G29" s="97" t="n">
        <v>12</v>
      </c>
      <c r="M29" s="98" t="n">
        <f aca="false">SUM(I29:L29)</f>
        <v>0</v>
      </c>
      <c r="N29" s="100" t="s">
        <v>78</v>
      </c>
      <c r="Q29" s="97" t="n">
        <v>16.9</v>
      </c>
      <c r="R29" s="97" t="n">
        <v>1.09</v>
      </c>
      <c r="T29" s="97" t="n">
        <v>10</v>
      </c>
      <c r="U29" s="97" t="n">
        <v>2</v>
      </c>
      <c r="Z29" s="98" t="n">
        <f aca="false">SUM(V29:Y29)</f>
        <v>0</v>
      </c>
      <c r="AA29" s="100" t="s">
        <v>79</v>
      </c>
      <c r="AD29" s="97" t="n">
        <v>19.8</v>
      </c>
      <c r="AE29" s="97" t="n">
        <v>1.58</v>
      </c>
      <c r="AG29" s="97" t="n">
        <v>12</v>
      </c>
      <c r="AH29" s="97" t="n">
        <v>0</v>
      </c>
      <c r="AM29" s="98" t="n">
        <f aca="false">SUM(AI29:AL29)</f>
        <v>0</v>
      </c>
    </row>
    <row r="30" customFormat="false" ht="15" hidden="false" customHeight="false" outlineLevel="0" collapsed="false">
      <c r="A30" s="97" t="s">
        <v>80</v>
      </c>
      <c r="D30" s="97" t="n">
        <v>16.9</v>
      </c>
      <c r="E30" s="97" t="n">
        <v>1.14</v>
      </c>
      <c r="G30" s="97" t="n">
        <v>11</v>
      </c>
      <c r="H30" s="97" t="n">
        <v>1</v>
      </c>
      <c r="M30" s="98" t="n">
        <f aca="false">SUM(I30:L30)</f>
        <v>0</v>
      </c>
      <c r="N30" s="100" t="s">
        <v>81</v>
      </c>
      <c r="Q30" s="97" t="n">
        <v>18.4</v>
      </c>
      <c r="R30" s="97" t="n">
        <v>1.61</v>
      </c>
      <c r="T30" s="97" t="n">
        <v>9</v>
      </c>
      <c r="U30" s="97" t="n">
        <v>3</v>
      </c>
      <c r="Z30" s="98" t="n">
        <f aca="false">SUM(V30:Y30)</f>
        <v>0</v>
      </c>
      <c r="AA30" s="100" t="s">
        <v>82</v>
      </c>
      <c r="AD30" s="97" t="n">
        <v>17</v>
      </c>
      <c r="AE30" s="97" t="n">
        <v>1.01</v>
      </c>
      <c r="AG30" s="97" t="n">
        <v>8</v>
      </c>
      <c r="AH30" s="97" t="n">
        <v>4</v>
      </c>
      <c r="AM30" s="98" t="n">
        <f aca="false">SUM(AI30:AL30)</f>
        <v>0</v>
      </c>
    </row>
    <row r="31" customFormat="false" ht="15" hidden="false" customHeight="false" outlineLevel="0" collapsed="false">
      <c r="A31" s="97" t="s">
        <v>83</v>
      </c>
      <c r="D31" s="97" t="n">
        <v>18.2</v>
      </c>
      <c r="E31" s="97" t="n">
        <v>1.42</v>
      </c>
      <c r="G31" s="97" t="n">
        <v>11</v>
      </c>
      <c r="H31" s="97" t="n">
        <v>1</v>
      </c>
      <c r="M31" s="98" t="n">
        <f aca="false">SUM(I31:L31)</f>
        <v>0</v>
      </c>
      <c r="N31" s="100" t="s">
        <v>84</v>
      </c>
      <c r="Q31" s="97" t="n">
        <v>18.1</v>
      </c>
      <c r="R31" s="97" t="n">
        <v>1.63</v>
      </c>
      <c r="T31" s="97" t="n">
        <v>9</v>
      </c>
      <c r="U31" s="97" t="n">
        <v>3</v>
      </c>
      <c r="Z31" s="98" t="n">
        <f aca="false">SUM(V31:Y31)</f>
        <v>0</v>
      </c>
      <c r="AA31" s="100" t="s">
        <v>85</v>
      </c>
      <c r="AD31" s="97" t="n">
        <v>18.1</v>
      </c>
      <c r="AE31" s="97" t="n">
        <v>1.3</v>
      </c>
      <c r="AG31" s="97" t="n">
        <v>12</v>
      </c>
      <c r="AH31" s="97" t="n">
        <v>0</v>
      </c>
      <c r="AM31" s="98" t="n">
        <f aca="false">SUM(AI31:AL31)</f>
        <v>0</v>
      </c>
    </row>
    <row r="32" customFormat="false" ht="15" hidden="false" customHeight="false" outlineLevel="0" collapsed="false">
      <c r="A32" s="97" t="s">
        <v>86</v>
      </c>
      <c r="D32" s="97" t="n">
        <v>18.7</v>
      </c>
      <c r="E32" s="97" t="n">
        <v>1.25</v>
      </c>
      <c r="G32" s="97" t="n">
        <v>7</v>
      </c>
      <c r="H32" s="97" t="n">
        <v>4</v>
      </c>
      <c r="J32" s="97" t="n">
        <v>1</v>
      </c>
      <c r="M32" s="98" t="n">
        <f aca="false">SUM(I32:L32)</f>
        <v>1</v>
      </c>
      <c r="N32" s="100" t="s">
        <v>87</v>
      </c>
      <c r="Q32" s="97" t="n">
        <v>19.8</v>
      </c>
      <c r="R32" s="97" t="n">
        <v>1.82</v>
      </c>
      <c r="T32" s="97" t="n">
        <v>9</v>
      </c>
      <c r="U32" s="97" t="n">
        <v>2</v>
      </c>
      <c r="Z32" s="98" t="n">
        <f aca="false">SUM(V32:Y32)</f>
        <v>0</v>
      </c>
      <c r="AA32" s="100" t="s">
        <v>88</v>
      </c>
      <c r="AD32" s="97" t="n">
        <v>17.7</v>
      </c>
      <c r="AE32" s="97" t="n">
        <v>1.48</v>
      </c>
      <c r="AG32" s="97" t="n">
        <v>7</v>
      </c>
      <c r="AH32" s="97" t="n">
        <v>5</v>
      </c>
      <c r="AM32" s="98" t="n">
        <f aca="false">SUM(AI32:AL32)</f>
        <v>0</v>
      </c>
    </row>
    <row r="33" customFormat="false" ht="15" hidden="false" customHeight="false" outlineLevel="0" collapsed="false">
      <c r="A33" s="97" t="s">
        <v>89</v>
      </c>
      <c r="D33" s="97" t="n">
        <v>16.6</v>
      </c>
      <c r="E33" s="97" t="n">
        <v>1.23</v>
      </c>
      <c r="G33" s="97" t="n">
        <v>12</v>
      </c>
      <c r="M33" s="98" t="n">
        <f aca="false">SUM(I33:L33)</f>
        <v>0</v>
      </c>
      <c r="N33" s="100" t="s">
        <v>90</v>
      </c>
      <c r="Q33" s="97" t="n">
        <v>20.1</v>
      </c>
      <c r="R33" s="97" t="n">
        <v>1.98</v>
      </c>
      <c r="T33" s="97" t="n">
        <v>9</v>
      </c>
      <c r="U33" s="97" t="n">
        <v>3</v>
      </c>
      <c r="Z33" s="98" t="n">
        <f aca="false">SUM(V33:Y33)</f>
        <v>0</v>
      </c>
      <c r="AA33" s="100" t="s">
        <v>91</v>
      </c>
      <c r="AD33" s="97" t="n">
        <v>19.7</v>
      </c>
      <c r="AE33" s="97" t="n">
        <v>1.5</v>
      </c>
      <c r="AG33" s="97" t="n">
        <v>4</v>
      </c>
      <c r="AH33" s="97" t="n">
        <v>8</v>
      </c>
      <c r="AM33" s="98" t="n">
        <f aca="false">SUM(AI33:AL33)</f>
        <v>0</v>
      </c>
    </row>
    <row r="34" customFormat="false" ht="15" hidden="false" customHeight="false" outlineLevel="0" collapsed="false">
      <c r="A34" s="97" t="s">
        <v>92</v>
      </c>
      <c r="D34" s="97" t="n">
        <v>18.5</v>
      </c>
      <c r="E34" s="97" t="n">
        <v>1.8</v>
      </c>
      <c r="G34" s="97" t="n">
        <v>9</v>
      </c>
      <c r="H34" s="97" t="n">
        <v>3</v>
      </c>
      <c r="M34" s="98" t="n">
        <f aca="false">SUM(I34:L34)</f>
        <v>0</v>
      </c>
      <c r="N34" s="100" t="s">
        <v>93</v>
      </c>
      <c r="Q34" s="97" t="n">
        <v>18.2</v>
      </c>
      <c r="R34" s="97" t="n">
        <v>1.45</v>
      </c>
      <c r="T34" s="97" t="n">
        <v>11</v>
      </c>
      <c r="U34" s="97" t="n">
        <v>1</v>
      </c>
      <c r="Z34" s="98" t="n">
        <f aca="false">SUM(V34:Y34)</f>
        <v>0</v>
      </c>
      <c r="AA34" s="100" t="s">
        <v>94</v>
      </c>
      <c r="AD34" s="97" t="n">
        <v>16.1</v>
      </c>
      <c r="AE34" s="97" t="n">
        <v>0.89</v>
      </c>
      <c r="AG34" s="97" t="n">
        <v>8</v>
      </c>
      <c r="AH34" s="97" t="n">
        <v>2</v>
      </c>
      <c r="AI34" s="97" t="n">
        <v>1</v>
      </c>
      <c r="AK34" s="97" t="n">
        <v>1</v>
      </c>
      <c r="AM34" s="98" t="n">
        <f aca="false">SUM(AI34:AL34)</f>
        <v>2</v>
      </c>
    </row>
    <row r="35" customFormat="false" ht="15" hidden="false" customHeight="false" outlineLevel="0" collapsed="false">
      <c r="A35" s="100" t="s">
        <v>95</v>
      </c>
      <c r="D35" s="97" t="n">
        <v>20.7</v>
      </c>
      <c r="E35" s="97" t="n">
        <v>2.04</v>
      </c>
      <c r="G35" s="97" t="n">
        <v>8</v>
      </c>
      <c r="H35" s="97" t="n">
        <v>4</v>
      </c>
      <c r="I35" s="97" t="n">
        <v>0</v>
      </c>
      <c r="J35" s="97" t="n">
        <v>0</v>
      </c>
      <c r="K35" s="97" t="n">
        <v>0</v>
      </c>
      <c r="M35" s="98" t="n">
        <f aca="false">SUM(I35:L35)</f>
        <v>0</v>
      </c>
      <c r="N35" s="100" t="s">
        <v>96</v>
      </c>
      <c r="Q35" s="97" t="n">
        <v>18.3</v>
      </c>
      <c r="R35" s="97" t="n">
        <v>1.78</v>
      </c>
      <c r="T35" s="97" t="n">
        <v>11</v>
      </c>
      <c r="U35" s="101" t="n">
        <v>1</v>
      </c>
      <c r="Z35" s="98" t="n">
        <f aca="false">SUM(V35:Y35)</f>
        <v>0</v>
      </c>
      <c r="AA35" s="100" t="s">
        <v>97</v>
      </c>
      <c r="AD35" s="97" t="n">
        <v>16.7</v>
      </c>
      <c r="AE35" s="97" t="n">
        <v>1.17</v>
      </c>
      <c r="AG35" s="97" t="n">
        <v>2</v>
      </c>
      <c r="AH35" s="97" t="n">
        <v>10</v>
      </c>
      <c r="AM35" s="98" t="n">
        <f aca="false">SUM(AI35:AL35)</f>
        <v>0</v>
      </c>
    </row>
    <row r="36" customFormat="false" ht="15" hidden="false" customHeight="false" outlineLevel="0" collapsed="false">
      <c r="A36" s="100" t="s">
        <v>98</v>
      </c>
      <c r="D36" s="97" t="n">
        <v>17.9</v>
      </c>
      <c r="E36" s="97" t="n">
        <v>1.41</v>
      </c>
      <c r="G36" s="97" t="n">
        <v>9</v>
      </c>
      <c r="H36" s="97" t="n">
        <v>3</v>
      </c>
      <c r="I36" s="97" t="n">
        <v>0</v>
      </c>
      <c r="J36" s="97" t="n">
        <v>0</v>
      </c>
      <c r="K36" s="97" t="n">
        <v>0</v>
      </c>
      <c r="M36" s="98" t="n">
        <f aca="false">SUM(I36:L36)</f>
        <v>0</v>
      </c>
      <c r="N36" s="100" t="s">
        <v>99</v>
      </c>
      <c r="Q36" s="97" t="n">
        <v>17.6</v>
      </c>
      <c r="R36" s="97" t="n">
        <v>1.51</v>
      </c>
      <c r="T36" s="97" t="n">
        <v>9</v>
      </c>
      <c r="U36" s="101" t="n">
        <v>3</v>
      </c>
      <c r="Z36" s="98" t="n">
        <f aca="false">SUM(V36:Y36)</f>
        <v>0</v>
      </c>
      <c r="AA36" s="100" t="s">
        <v>100</v>
      </c>
      <c r="AD36" s="97" t="n">
        <v>17</v>
      </c>
      <c r="AE36" s="97" t="n">
        <v>1.29</v>
      </c>
      <c r="AG36" s="97" t="n">
        <v>12</v>
      </c>
      <c r="AH36" s="97" t="n">
        <v>0</v>
      </c>
      <c r="AJ36" s="97" t="n">
        <v>0</v>
      </c>
      <c r="AM36" s="98" t="n">
        <f aca="false">SUM(AI36:AL36)</f>
        <v>0</v>
      </c>
    </row>
    <row r="37" customFormat="false" ht="15" hidden="false" customHeight="false" outlineLevel="0" collapsed="false">
      <c r="A37" s="100" t="s">
        <v>101</v>
      </c>
      <c r="D37" s="97" t="n">
        <v>17.1</v>
      </c>
      <c r="E37" s="97" t="n">
        <v>1.25</v>
      </c>
      <c r="G37" s="97" t="n">
        <v>8</v>
      </c>
      <c r="H37" s="97" t="n">
        <v>4</v>
      </c>
      <c r="I37" s="97" t="n">
        <v>0</v>
      </c>
      <c r="J37" s="97" t="n">
        <v>0</v>
      </c>
      <c r="K37" s="97" t="n">
        <v>0</v>
      </c>
      <c r="M37" s="98" t="n">
        <f aca="false">SUM(I37:L37)</f>
        <v>0</v>
      </c>
      <c r="N37" s="100" t="s">
        <v>102</v>
      </c>
      <c r="Q37" s="97" t="n">
        <v>17</v>
      </c>
      <c r="R37" s="97" t="n">
        <v>1.32</v>
      </c>
      <c r="T37" s="97" t="n">
        <v>11</v>
      </c>
      <c r="U37" s="101" t="n">
        <v>1</v>
      </c>
      <c r="Z37" s="98" t="n">
        <f aca="false">SUM(V37:Y37)</f>
        <v>0</v>
      </c>
      <c r="AA37" s="100" t="s">
        <v>103</v>
      </c>
      <c r="AD37" s="97" t="n">
        <v>20.1</v>
      </c>
      <c r="AE37" s="97" t="n">
        <v>1.75</v>
      </c>
      <c r="AG37" s="97" t="n">
        <v>1</v>
      </c>
      <c r="AH37" s="97" t="n">
        <v>10</v>
      </c>
      <c r="AI37" s="97" t="n">
        <v>1</v>
      </c>
      <c r="AJ37" s="97" t="n">
        <v>0</v>
      </c>
      <c r="AM37" s="98" t="n">
        <f aca="false">SUM(AI37:AL37)</f>
        <v>1</v>
      </c>
    </row>
    <row r="38" customFormat="false" ht="15" hidden="false" customHeight="false" outlineLevel="0" collapsed="false">
      <c r="A38" s="100" t="s">
        <v>104</v>
      </c>
      <c r="D38" s="97" t="n">
        <v>17</v>
      </c>
      <c r="E38" s="97" t="n">
        <v>1.5</v>
      </c>
      <c r="G38" s="97" t="n">
        <v>7</v>
      </c>
      <c r="H38" s="97" t="n">
        <v>4</v>
      </c>
      <c r="I38" s="97" t="n">
        <v>1</v>
      </c>
      <c r="J38" s="97" t="n">
        <v>0</v>
      </c>
      <c r="K38" s="97" t="n">
        <v>0</v>
      </c>
      <c r="M38" s="98" t="n">
        <f aca="false">SUM(I38:L38)</f>
        <v>1</v>
      </c>
      <c r="N38" s="100" t="s">
        <v>105</v>
      </c>
      <c r="Q38" s="97" t="n">
        <v>16.6</v>
      </c>
      <c r="R38" s="97" t="n">
        <v>1.36</v>
      </c>
      <c r="T38" s="97" t="n">
        <v>9</v>
      </c>
      <c r="U38" s="101" t="n">
        <v>3</v>
      </c>
      <c r="Z38" s="98" t="n">
        <f aca="false">SUM(V38:Y38)</f>
        <v>0</v>
      </c>
      <c r="AA38" s="100" t="s">
        <v>106</v>
      </c>
      <c r="AD38" s="97" t="n">
        <v>20.1</v>
      </c>
      <c r="AE38" s="97" t="n">
        <v>2.04</v>
      </c>
      <c r="AG38" s="97" t="n">
        <v>6</v>
      </c>
      <c r="AH38" s="97" t="n">
        <v>6</v>
      </c>
      <c r="AI38" s="97" t="n">
        <v>0</v>
      </c>
      <c r="AJ38" s="97" t="n">
        <v>0</v>
      </c>
      <c r="AM38" s="98" t="n">
        <f aca="false">SUM(AI38:AL38)</f>
        <v>0</v>
      </c>
    </row>
    <row r="39" customFormat="false" ht="15" hidden="false" customHeight="false" outlineLevel="0" collapsed="false">
      <c r="A39" s="100" t="s">
        <v>107</v>
      </c>
      <c r="D39" s="97" t="n">
        <v>18.5</v>
      </c>
      <c r="E39" s="97" t="n">
        <v>1.52</v>
      </c>
      <c r="G39" s="97" t="n">
        <v>9</v>
      </c>
      <c r="H39" s="97" t="n">
        <v>3</v>
      </c>
      <c r="I39" s="97" t="n">
        <v>0</v>
      </c>
      <c r="J39" s="97" t="n">
        <v>0</v>
      </c>
      <c r="K39" s="97" t="n">
        <v>0</v>
      </c>
      <c r="M39" s="98" t="n">
        <f aca="false">SUM(I39:L39)</f>
        <v>0</v>
      </c>
      <c r="N39" s="100" t="s">
        <v>108</v>
      </c>
      <c r="Q39" s="97" t="n">
        <v>15.1</v>
      </c>
      <c r="R39" s="97" t="n">
        <v>1.17</v>
      </c>
      <c r="T39" s="97" t="n">
        <v>11</v>
      </c>
      <c r="U39" s="101" t="n">
        <v>1</v>
      </c>
      <c r="Z39" s="98" t="n">
        <f aca="false">SUM(V39:Y39)</f>
        <v>0</v>
      </c>
      <c r="AA39" s="100" t="s">
        <v>109</v>
      </c>
      <c r="AD39" s="97" t="n">
        <v>17.9</v>
      </c>
      <c r="AE39" s="97" t="n">
        <v>1.49</v>
      </c>
      <c r="AG39" s="97" t="n">
        <v>6</v>
      </c>
      <c r="AH39" s="97" t="n">
        <v>6</v>
      </c>
      <c r="AJ39" s="97" t="n">
        <v>0</v>
      </c>
      <c r="AM39" s="98" t="n">
        <f aca="false">SUM(AI39:AL39)</f>
        <v>0</v>
      </c>
    </row>
    <row r="40" customFormat="false" ht="15" hidden="false" customHeight="false" outlineLevel="0" collapsed="false">
      <c r="A40" s="100" t="s">
        <v>110</v>
      </c>
      <c r="D40" s="97" t="n">
        <v>18.9</v>
      </c>
      <c r="E40" s="97" t="n">
        <v>1.66</v>
      </c>
      <c r="G40" s="97" t="n">
        <v>9</v>
      </c>
      <c r="H40" s="97" t="n">
        <v>3</v>
      </c>
      <c r="I40" s="97" t="n">
        <v>0</v>
      </c>
      <c r="J40" s="97" t="n">
        <v>0</v>
      </c>
      <c r="K40" s="97" t="n">
        <v>0</v>
      </c>
      <c r="M40" s="98" t="n">
        <f aca="false">SUM(I40:L40)</f>
        <v>0</v>
      </c>
      <c r="N40" s="100" t="s">
        <v>111</v>
      </c>
      <c r="Q40" s="97" t="n">
        <v>17.8</v>
      </c>
      <c r="R40" s="97" t="n">
        <v>1.55</v>
      </c>
      <c r="T40" s="97" t="n">
        <v>10</v>
      </c>
      <c r="U40" s="97" t="n">
        <v>2</v>
      </c>
      <c r="Z40" s="98" t="n">
        <f aca="false">SUM(V40:Y40)</f>
        <v>0</v>
      </c>
      <c r="AA40" s="100" t="s">
        <v>112</v>
      </c>
      <c r="AD40" s="97" t="n">
        <v>17.6</v>
      </c>
      <c r="AE40" s="97" t="n">
        <v>1.43</v>
      </c>
      <c r="AG40" s="97" t="n">
        <v>8</v>
      </c>
      <c r="AH40" s="97" t="n">
        <v>3</v>
      </c>
      <c r="AI40" s="97" t="n">
        <v>1</v>
      </c>
      <c r="AM40" s="98" t="n">
        <f aca="false">SUM(AI40:AL40)</f>
        <v>1</v>
      </c>
    </row>
    <row r="41" customFormat="false" ht="15" hidden="false" customHeight="false" outlineLevel="0" collapsed="false">
      <c r="A41" s="100" t="s">
        <v>113</v>
      </c>
      <c r="D41" s="97" t="n">
        <v>20.7</v>
      </c>
      <c r="E41" s="97" t="n">
        <v>1.97</v>
      </c>
      <c r="G41" s="97" t="n">
        <v>9</v>
      </c>
      <c r="H41" s="97" t="n">
        <v>3</v>
      </c>
      <c r="I41" s="97" t="n">
        <v>0</v>
      </c>
      <c r="J41" s="97" t="n">
        <v>0</v>
      </c>
      <c r="K41" s="97" t="n">
        <v>0</v>
      </c>
      <c r="M41" s="98" t="n">
        <f aca="false">SUM(I41:L41)</f>
        <v>0</v>
      </c>
      <c r="N41" s="100" t="s">
        <v>114</v>
      </c>
      <c r="Q41" s="97" t="n">
        <v>17.9</v>
      </c>
      <c r="R41" s="97" t="n">
        <v>1.56</v>
      </c>
      <c r="T41" s="97" t="n">
        <v>10</v>
      </c>
      <c r="U41" s="97" t="n">
        <v>2</v>
      </c>
      <c r="Z41" s="98" t="n">
        <f aca="false">SUM(V41:Y41)</f>
        <v>0</v>
      </c>
      <c r="AA41" s="103" t="s">
        <v>115</v>
      </c>
      <c r="AD41" s="97" t="n">
        <v>18.7</v>
      </c>
      <c r="AE41" s="97" t="n">
        <v>1.74</v>
      </c>
      <c r="AG41" s="97" t="n">
        <v>6</v>
      </c>
      <c r="AH41" s="97" t="n">
        <v>6</v>
      </c>
      <c r="AM41" s="98" t="n">
        <f aca="false">SUM(AI41:AL41)</f>
        <v>0</v>
      </c>
    </row>
    <row r="42" customFormat="false" ht="15" hidden="false" customHeight="false" outlineLevel="0" collapsed="false">
      <c r="A42" s="100" t="s">
        <v>116</v>
      </c>
      <c r="D42" s="97" t="n">
        <v>17.9</v>
      </c>
      <c r="E42" s="97" t="n">
        <v>17.9</v>
      </c>
      <c r="G42" s="97" t="n">
        <v>9</v>
      </c>
      <c r="H42" s="97" t="n">
        <v>3</v>
      </c>
      <c r="M42" s="98" t="n">
        <f aca="false">SUM(I42:L42)</f>
        <v>0</v>
      </c>
      <c r="N42" s="100" t="s">
        <v>117</v>
      </c>
      <c r="Q42" s="97" t="n">
        <v>20.3</v>
      </c>
      <c r="R42" s="97" t="n">
        <v>2.05</v>
      </c>
      <c r="T42" s="97" t="n">
        <v>12</v>
      </c>
      <c r="U42" s="97" t="n">
        <v>0</v>
      </c>
      <c r="Z42" s="98" t="n">
        <f aca="false">SUM(V42:Y42)</f>
        <v>0</v>
      </c>
      <c r="AA42" s="100" t="s">
        <v>118</v>
      </c>
      <c r="AD42" s="97" t="n">
        <v>16</v>
      </c>
      <c r="AE42" s="97" t="n">
        <v>1.04</v>
      </c>
      <c r="AG42" s="97" t="n">
        <v>8</v>
      </c>
      <c r="AH42" s="97" t="n">
        <v>4</v>
      </c>
      <c r="AM42" s="98" t="n">
        <f aca="false">SUM(AI42:AL42)</f>
        <v>0</v>
      </c>
    </row>
    <row r="43" customFormat="false" ht="15" hidden="false" customHeight="false" outlineLevel="0" collapsed="false">
      <c r="A43" s="100" t="s">
        <v>77</v>
      </c>
      <c r="D43" s="97" t="n">
        <v>16.1</v>
      </c>
      <c r="E43" s="97" t="n">
        <v>16.1</v>
      </c>
      <c r="G43" s="97" t="n">
        <v>8</v>
      </c>
      <c r="H43" s="97" t="n">
        <v>4</v>
      </c>
      <c r="M43" s="98" t="n">
        <f aca="false">SUM(I43:L43)</f>
        <v>0</v>
      </c>
      <c r="N43" s="100" t="s">
        <v>78</v>
      </c>
      <c r="Q43" s="97" t="n">
        <v>17</v>
      </c>
      <c r="R43" s="97" t="n">
        <v>1.23</v>
      </c>
      <c r="T43" s="97" t="n">
        <v>12</v>
      </c>
      <c r="U43" s="97" t="n">
        <v>0</v>
      </c>
      <c r="Z43" s="98" t="n">
        <f aca="false">SUM(V43:Y43)</f>
        <v>0</v>
      </c>
      <c r="AA43" s="100" t="s">
        <v>79</v>
      </c>
      <c r="AD43" s="97" t="n">
        <v>18</v>
      </c>
      <c r="AE43" s="97" t="n">
        <v>1.32</v>
      </c>
      <c r="AG43" s="97" t="n">
        <v>6</v>
      </c>
      <c r="AH43" s="97" t="n">
        <v>6</v>
      </c>
      <c r="AM43" s="98" t="n">
        <f aca="false">SUM(AI43:AL43)</f>
        <v>0</v>
      </c>
    </row>
    <row r="44" customFormat="false" ht="15" hidden="false" customHeight="false" outlineLevel="0" collapsed="false">
      <c r="A44" s="100" t="s">
        <v>80</v>
      </c>
      <c r="D44" s="97" t="n">
        <v>18</v>
      </c>
      <c r="E44" s="97" t="n">
        <v>18</v>
      </c>
      <c r="G44" s="97" t="n">
        <v>7</v>
      </c>
      <c r="H44" s="97" t="n">
        <v>5</v>
      </c>
      <c r="M44" s="98" t="n">
        <f aca="false">SUM(I44:L44)</f>
        <v>0</v>
      </c>
      <c r="N44" s="100" t="s">
        <v>81</v>
      </c>
      <c r="Q44" s="97" t="n">
        <v>16</v>
      </c>
      <c r="R44" s="97" t="n">
        <v>1.11</v>
      </c>
      <c r="T44" s="97" t="n">
        <v>9</v>
      </c>
      <c r="U44" s="97" t="n">
        <v>3</v>
      </c>
      <c r="Z44" s="98" t="n">
        <f aca="false">SUM(V44:Y44)</f>
        <v>0</v>
      </c>
      <c r="AA44" s="100" t="s">
        <v>82</v>
      </c>
      <c r="AD44" s="97" t="n">
        <v>20.6</v>
      </c>
      <c r="AE44" s="97" t="n">
        <v>1.29</v>
      </c>
      <c r="AG44" s="97" t="n">
        <v>12</v>
      </c>
      <c r="AH44" s="97" t="n">
        <v>0</v>
      </c>
      <c r="AM44" s="98" t="n">
        <f aca="false">SUM(AI44:AL44)</f>
        <v>0</v>
      </c>
    </row>
    <row r="45" customFormat="false" ht="15" hidden="false" customHeight="false" outlineLevel="0" collapsed="false">
      <c r="A45" s="100" t="s">
        <v>83</v>
      </c>
      <c r="D45" s="97" t="n">
        <v>16.6</v>
      </c>
      <c r="E45" s="97" t="n">
        <v>16.6</v>
      </c>
      <c r="G45" s="97" t="n">
        <v>6</v>
      </c>
      <c r="H45" s="97" t="n">
        <v>6</v>
      </c>
      <c r="M45" s="98" t="n">
        <f aca="false">SUM(I45:L45)</f>
        <v>0</v>
      </c>
      <c r="N45" s="100" t="s">
        <v>84</v>
      </c>
      <c r="Q45" s="97" t="n">
        <v>20.2</v>
      </c>
      <c r="R45" s="97" t="n">
        <v>1.83</v>
      </c>
      <c r="T45" s="97" t="n">
        <v>6</v>
      </c>
      <c r="U45" s="97" t="n">
        <v>6</v>
      </c>
      <c r="Z45" s="98" t="n">
        <f aca="false">SUM(V45:Y45)</f>
        <v>0</v>
      </c>
      <c r="AA45" s="100" t="s">
        <v>85</v>
      </c>
      <c r="AD45" s="97" t="n">
        <v>18.5</v>
      </c>
      <c r="AE45" s="97" t="n">
        <v>1.49</v>
      </c>
      <c r="AG45" s="97" t="n">
        <v>12</v>
      </c>
      <c r="AH45" s="97" t="n">
        <v>0</v>
      </c>
      <c r="AM45" s="98" t="n">
        <f aca="false">SUM(AI45:AL45)</f>
        <v>0</v>
      </c>
    </row>
    <row r="46" customFormat="false" ht="15" hidden="false" customHeight="false" outlineLevel="0" collapsed="false">
      <c r="A46" s="100" t="s">
        <v>86</v>
      </c>
      <c r="D46" s="97" t="n">
        <v>17.5</v>
      </c>
      <c r="E46" s="97" t="n">
        <v>17.5</v>
      </c>
      <c r="G46" s="97" t="n">
        <v>9</v>
      </c>
      <c r="H46" s="97" t="n">
        <v>3</v>
      </c>
      <c r="M46" s="98" t="n">
        <f aca="false">SUM(I46:L46)</f>
        <v>0</v>
      </c>
      <c r="N46" s="100" t="s">
        <v>87</v>
      </c>
      <c r="Q46" s="97" t="n">
        <v>17.7</v>
      </c>
      <c r="R46" s="97" t="n">
        <v>1.38</v>
      </c>
      <c r="T46" s="97" t="n">
        <v>9</v>
      </c>
      <c r="U46" s="97" t="n">
        <v>3</v>
      </c>
      <c r="Z46" s="98" t="n">
        <f aca="false">SUM(V46:Y46)</f>
        <v>0</v>
      </c>
      <c r="AA46" s="100" t="s">
        <v>88</v>
      </c>
      <c r="AD46" s="97" t="n">
        <v>17.3</v>
      </c>
      <c r="AE46" s="97" t="n">
        <v>1.14</v>
      </c>
      <c r="AG46" s="97" t="n">
        <v>8</v>
      </c>
      <c r="AH46" s="97" t="n">
        <v>4</v>
      </c>
      <c r="AM46" s="98" t="n">
        <f aca="false">SUM(AI46:AL46)</f>
        <v>0</v>
      </c>
    </row>
    <row r="47" customFormat="false" ht="15" hidden="false" customHeight="false" outlineLevel="0" collapsed="false">
      <c r="A47" s="100" t="s">
        <v>89</v>
      </c>
      <c r="D47" s="97" t="n">
        <v>20.5</v>
      </c>
      <c r="E47" s="97" t="n">
        <v>20.5</v>
      </c>
      <c r="G47" s="97" t="n">
        <v>10</v>
      </c>
      <c r="H47" s="97" t="n">
        <v>2</v>
      </c>
      <c r="M47" s="98" t="n">
        <f aca="false">SUM(I47:L47)</f>
        <v>0</v>
      </c>
      <c r="N47" s="100" t="s">
        <v>90</v>
      </c>
      <c r="Q47" s="97" t="n">
        <v>20.4</v>
      </c>
      <c r="R47" s="97" t="n">
        <v>2.37</v>
      </c>
      <c r="T47" s="97" t="n">
        <v>6</v>
      </c>
      <c r="U47" s="97" t="n">
        <v>6</v>
      </c>
      <c r="Z47" s="98" t="n">
        <f aca="false">SUM(V47:Y47)</f>
        <v>0</v>
      </c>
      <c r="AA47" s="100" t="s">
        <v>91</v>
      </c>
      <c r="AD47" s="97" t="n">
        <v>17.7</v>
      </c>
      <c r="AE47" s="97" t="n">
        <v>1.31</v>
      </c>
      <c r="AG47" s="97" t="n">
        <v>11</v>
      </c>
      <c r="AI47" s="97" t="n">
        <v>1</v>
      </c>
      <c r="AM47" s="98" t="n">
        <f aca="false">SUM(AI47:AL47)</f>
        <v>1</v>
      </c>
    </row>
    <row r="48" customFormat="false" ht="15" hidden="false" customHeight="false" outlineLevel="0" collapsed="false">
      <c r="A48" s="100" t="s">
        <v>92</v>
      </c>
      <c r="D48" s="97" t="n">
        <v>16.5</v>
      </c>
      <c r="E48" s="97" t="n">
        <v>16.5</v>
      </c>
      <c r="G48" s="97" t="n">
        <v>7</v>
      </c>
      <c r="H48" s="97" t="n">
        <v>5</v>
      </c>
      <c r="M48" s="98" t="n">
        <f aca="false">SUM(I48:L48)</f>
        <v>0</v>
      </c>
      <c r="N48" s="100" t="s">
        <v>93</v>
      </c>
      <c r="Q48" s="97" t="n">
        <v>17.3</v>
      </c>
      <c r="R48" s="97" t="n">
        <v>1.37</v>
      </c>
      <c r="T48" s="97" t="n">
        <v>10</v>
      </c>
      <c r="U48" s="97" t="n">
        <v>2</v>
      </c>
      <c r="Z48" s="98" t="n">
        <f aca="false">SUM(V48:Y48)</f>
        <v>0</v>
      </c>
      <c r="AA48" s="100" t="s">
        <v>94</v>
      </c>
      <c r="AD48" s="97" t="n">
        <v>17.1</v>
      </c>
      <c r="AE48" s="97" t="n">
        <v>1.19</v>
      </c>
      <c r="AG48" s="97" t="n">
        <v>8</v>
      </c>
      <c r="AH48" s="97" t="n">
        <v>4</v>
      </c>
      <c r="AM48" s="98" t="n">
        <f aca="false">SUM(AI48:AL48)</f>
        <v>0</v>
      </c>
    </row>
    <row r="49" customFormat="false" ht="15" hidden="false" customHeight="false" outlineLevel="0" collapsed="false">
      <c r="A49" s="100" t="s">
        <v>95</v>
      </c>
      <c r="D49" s="97" t="n">
        <v>16.6</v>
      </c>
      <c r="E49" s="97" t="n">
        <v>1.1</v>
      </c>
      <c r="G49" s="97" t="n">
        <v>8</v>
      </c>
      <c r="H49" s="97" t="n">
        <v>4</v>
      </c>
      <c r="M49" s="98" t="n">
        <f aca="false">SUM(I49:L49)</f>
        <v>0</v>
      </c>
      <c r="N49" s="100" t="s">
        <v>96</v>
      </c>
      <c r="Q49" s="97" t="n">
        <v>18.4</v>
      </c>
      <c r="R49" s="97" t="n">
        <v>1.74</v>
      </c>
      <c r="T49" s="97" t="n">
        <v>9</v>
      </c>
      <c r="U49" s="97" t="n">
        <v>2</v>
      </c>
      <c r="Z49" s="98" t="n">
        <f aca="false">SUM(V49:Y49)</f>
        <v>0</v>
      </c>
      <c r="AA49" s="100" t="s">
        <v>97</v>
      </c>
      <c r="AD49" s="97" t="n">
        <v>17.8</v>
      </c>
      <c r="AE49" s="97" t="n">
        <v>1.3</v>
      </c>
      <c r="AG49" s="97" t="n">
        <v>10</v>
      </c>
      <c r="AH49" s="97" t="n">
        <v>2</v>
      </c>
      <c r="AM49" s="98" t="n">
        <f aca="false">SUM(AI49:AL49)</f>
        <v>0</v>
      </c>
    </row>
    <row r="50" customFormat="false" ht="15" hidden="false" customHeight="false" outlineLevel="0" collapsed="false">
      <c r="A50" s="100" t="s">
        <v>98</v>
      </c>
      <c r="D50" s="97" t="n">
        <v>16</v>
      </c>
      <c r="E50" s="97" t="n">
        <v>1.03</v>
      </c>
      <c r="G50" s="97" t="n">
        <v>10</v>
      </c>
      <c r="H50" s="97" t="n">
        <v>2</v>
      </c>
      <c r="M50" s="98" t="n">
        <f aca="false">SUM(I50:L50)</f>
        <v>0</v>
      </c>
      <c r="N50" s="100" t="s">
        <v>99</v>
      </c>
      <c r="Q50" s="97" t="n">
        <v>16.2</v>
      </c>
      <c r="R50" s="97" t="n">
        <v>1.12</v>
      </c>
      <c r="T50" s="97" t="n">
        <v>9</v>
      </c>
      <c r="U50" s="97" t="n">
        <v>3</v>
      </c>
      <c r="Z50" s="98" t="n">
        <f aca="false">SUM(V50:Y50)</f>
        <v>0</v>
      </c>
      <c r="AA50" s="100" t="s">
        <v>100</v>
      </c>
      <c r="AD50" s="97" t="n">
        <v>16.8</v>
      </c>
      <c r="AE50" s="97" t="n">
        <v>1.21</v>
      </c>
      <c r="AG50" s="97" t="n">
        <v>10</v>
      </c>
      <c r="AH50" s="97" t="n">
        <v>2</v>
      </c>
      <c r="AM50" s="98" t="n">
        <f aca="false">SUM(AI50:AL50)</f>
        <v>0</v>
      </c>
    </row>
    <row r="51" customFormat="false" ht="15" hidden="false" customHeight="false" outlineLevel="0" collapsed="false">
      <c r="A51" s="100" t="s">
        <v>101</v>
      </c>
      <c r="D51" s="97" t="n">
        <v>18.5</v>
      </c>
      <c r="E51" s="97" t="n">
        <v>1.5</v>
      </c>
      <c r="G51" s="97" t="n">
        <v>6</v>
      </c>
      <c r="H51" s="97" t="n">
        <v>5</v>
      </c>
      <c r="I51" s="97" t="n">
        <v>1</v>
      </c>
      <c r="M51" s="98" t="n">
        <f aca="false">SUM(I51:L51)</f>
        <v>1</v>
      </c>
      <c r="N51" s="100" t="s">
        <v>102</v>
      </c>
      <c r="Q51" s="97" t="n">
        <v>20.4</v>
      </c>
      <c r="R51" s="97" t="n">
        <v>1.93</v>
      </c>
      <c r="T51" s="97" t="n">
        <v>10</v>
      </c>
      <c r="U51" s="97" t="n">
        <v>2</v>
      </c>
      <c r="Z51" s="98" t="n">
        <f aca="false">SUM(V51:Y51)</f>
        <v>0</v>
      </c>
      <c r="AA51" s="100" t="s">
        <v>103</v>
      </c>
      <c r="AD51" s="97" t="n">
        <v>17.7</v>
      </c>
      <c r="AE51" s="97" t="n">
        <v>1.37</v>
      </c>
      <c r="AG51" s="97" t="n">
        <v>7</v>
      </c>
      <c r="AH51" s="97" t="n">
        <v>5</v>
      </c>
      <c r="AM51" s="98" t="n">
        <f aca="false">SUM(AI51:AL51)</f>
        <v>0</v>
      </c>
    </row>
    <row r="52" customFormat="false" ht="15" hidden="false" customHeight="false" outlineLevel="0" collapsed="false">
      <c r="A52" s="100" t="s">
        <v>104</v>
      </c>
      <c r="D52" s="97" t="n">
        <v>18.3</v>
      </c>
      <c r="E52" s="97" t="n">
        <v>1.53</v>
      </c>
      <c r="G52" s="97" t="n">
        <v>9</v>
      </c>
      <c r="H52" s="97" t="n">
        <v>2</v>
      </c>
      <c r="I52" s="97" t="n">
        <v>1</v>
      </c>
      <c r="M52" s="98" t="n">
        <f aca="false">SUM(I52:L52)</f>
        <v>1</v>
      </c>
      <c r="N52" s="100" t="s">
        <v>105</v>
      </c>
      <c r="Q52" s="97" t="n">
        <v>17.8</v>
      </c>
      <c r="R52" s="97" t="n">
        <v>1.63</v>
      </c>
      <c r="T52" s="97" t="n">
        <v>10</v>
      </c>
      <c r="U52" s="97" t="n">
        <v>2</v>
      </c>
      <c r="Z52" s="98" t="n">
        <f aca="false">SUM(V52:Y52)</f>
        <v>0</v>
      </c>
      <c r="AA52" s="100" t="s">
        <v>106</v>
      </c>
      <c r="AD52" s="97" t="n">
        <v>16.9</v>
      </c>
      <c r="AE52" s="97" t="n">
        <v>1.2</v>
      </c>
      <c r="AG52" s="97" t="n">
        <v>11</v>
      </c>
      <c r="AH52" s="97" t="n">
        <v>1</v>
      </c>
      <c r="AM52" s="98" t="n">
        <f aca="false">SUM(AI52:AL52)</f>
        <v>0</v>
      </c>
    </row>
    <row r="53" customFormat="false" ht="15" hidden="false" customHeight="false" outlineLevel="0" collapsed="false">
      <c r="A53" s="100" t="s">
        <v>107</v>
      </c>
      <c r="D53" s="97" t="n">
        <v>20.8</v>
      </c>
      <c r="E53" s="97" t="n">
        <v>2.01</v>
      </c>
      <c r="G53" s="97" t="n">
        <v>8</v>
      </c>
      <c r="H53" s="97" t="n">
        <v>4</v>
      </c>
      <c r="M53" s="98" t="n">
        <f aca="false">SUM(I53:L53)</f>
        <v>0</v>
      </c>
      <c r="N53" s="100" t="s">
        <v>108</v>
      </c>
      <c r="Q53" s="97" t="n">
        <v>18.3</v>
      </c>
      <c r="R53" s="97" t="n">
        <v>1.6</v>
      </c>
      <c r="T53" s="97" t="n">
        <v>6</v>
      </c>
      <c r="U53" s="97" t="n">
        <v>6</v>
      </c>
      <c r="Z53" s="98" t="n">
        <f aca="false">SUM(V53:Y53)</f>
        <v>0</v>
      </c>
      <c r="AA53" s="100" t="s">
        <v>109</v>
      </c>
      <c r="AD53" s="97" t="n">
        <v>17.7</v>
      </c>
      <c r="AE53" s="97" t="n">
        <v>1.36</v>
      </c>
      <c r="AG53" s="97" t="n">
        <v>9</v>
      </c>
      <c r="AH53" s="97" t="n">
        <v>3</v>
      </c>
      <c r="AM53" s="98" t="n">
        <f aca="false">SUM(AI53:AL53)</f>
        <v>0</v>
      </c>
    </row>
    <row r="54" customFormat="false" ht="15" hidden="false" customHeight="false" outlineLevel="0" collapsed="false">
      <c r="A54" s="100" t="s">
        <v>110</v>
      </c>
      <c r="D54" s="97" t="n">
        <v>20</v>
      </c>
      <c r="E54" s="97" t="n">
        <v>1.77</v>
      </c>
      <c r="G54" s="97" t="n">
        <v>7</v>
      </c>
      <c r="H54" s="97" t="n">
        <v>5</v>
      </c>
      <c r="M54" s="98" t="n">
        <f aca="false">SUM(I54:L54)</f>
        <v>0</v>
      </c>
      <c r="N54" s="100" t="s">
        <v>111</v>
      </c>
      <c r="Q54" s="97" t="n">
        <v>20.1</v>
      </c>
      <c r="R54" s="97" t="n">
        <v>1.83</v>
      </c>
      <c r="T54" s="97" t="n">
        <v>9</v>
      </c>
      <c r="U54" s="97" t="n">
        <v>3</v>
      </c>
      <c r="Z54" s="98" t="n">
        <f aca="false">SUM(V54:Y54)</f>
        <v>0</v>
      </c>
      <c r="AA54" s="100" t="s">
        <v>112</v>
      </c>
      <c r="AD54" s="97" t="n">
        <v>16.2</v>
      </c>
      <c r="AE54" s="97" t="n">
        <v>0.93</v>
      </c>
      <c r="AG54" s="97" t="n">
        <v>2</v>
      </c>
      <c r="AH54" s="97" t="n">
        <v>9</v>
      </c>
      <c r="AM54" s="98" t="n">
        <f aca="false">SUM(AI54:AL54)</f>
        <v>0</v>
      </c>
    </row>
    <row r="55" customFormat="false" ht="15" hidden="false" customHeight="false" outlineLevel="0" collapsed="false">
      <c r="A55" s="100" t="s">
        <v>113</v>
      </c>
      <c r="D55" s="97" t="n">
        <v>18.3</v>
      </c>
      <c r="E55" s="97" t="n">
        <v>1.56</v>
      </c>
      <c r="G55" s="97" t="n">
        <v>10</v>
      </c>
      <c r="H55" s="97" t="n">
        <v>2</v>
      </c>
      <c r="M55" s="98" t="n">
        <f aca="false">SUM(I55:L55)</f>
        <v>0</v>
      </c>
      <c r="N55" s="100" t="s">
        <v>114</v>
      </c>
      <c r="Q55" s="97" t="n">
        <v>18.3</v>
      </c>
      <c r="R55" s="97" t="n">
        <v>1.83</v>
      </c>
      <c r="T55" s="97" t="n">
        <v>9</v>
      </c>
      <c r="U55" s="97" t="n">
        <v>3</v>
      </c>
      <c r="Z55" s="98" t="n">
        <f aca="false">SUM(V55:Y55)</f>
        <v>0</v>
      </c>
      <c r="AA55" s="100" t="s">
        <v>115</v>
      </c>
      <c r="AD55" s="97" t="n">
        <v>17.5</v>
      </c>
      <c r="AE55" s="97" t="n">
        <v>1.8</v>
      </c>
      <c r="AG55" s="97" t="n">
        <v>6</v>
      </c>
      <c r="AH55" s="97" t="n">
        <v>6</v>
      </c>
      <c r="AM55" s="98" t="n">
        <f aca="false">SUM(AI55:AL55)</f>
        <v>0</v>
      </c>
    </row>
    <row r="56" s="99" customFormat="true" ht="15" hidden="false" customHeight="false" outlineLevel="0" collapsed="false">
      <c r="M56" s="99" t="n">
        <f aca="false">SUM(H56:L56)</f>
        <v>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048576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A2" activeCellId="0" sqref="A2:C2"/>
    </sheetView>
  </sheetViews>
  <sheetFormatPr defaultColWidth="8.859375" defaultRowHeight="15" zeroHeight="false" outlineLevelRow="0" outlineLevelCol="0"/>
  <cols>
    <col collapsed="false" customWidth="true" hidden="false" outlineLevel="0" max="1" min="1" style="97" width="4.72"/>
    <col collapsed="false" customWidth="true" hidden="false" outlineLevel="0" max="2" min="2" style="97" width="3.57"/>
    <col collapsed="false" customWidth="true" hidden="false" outlineLevel="0" max="3" min="3" style="97" width="4.29"/>
    <col collapsed="false" customWidth="true" hidden="false" outlineLevel="0" max="12" min="12" style="97" width="13.86"/>
    <col collapsed="false" customWidth="true" hidden="false" outlineLevel="0" max="13" min="13" style="104" width="3.43"/>
    <col collapsed="false" customWidth="true" hidden="false" outlineLevel="0" max="14" min="14" style="97" width="4.14"/>
    <col collapsed="false" customWidth="true" hidden="false" outlineLevel="0" max="16" min="15" style="97" width="3.57"/>
    <col collapsed="false" customWidth="true" hidden="false" outlineLevel="0" max="17" min="17" style="97" width="8.57"/>
    <col collapsed="false" customWidth="true" hidden="false" outlineLevel="0" max="25" min="25" style="97" width="13.86"/>
    <col collapsed="false" customWidth="true" hidden="false" outlineLevel="0" max="26" min="26" style="104" width="3.57"/>
    <col collapsed="false" customWidth="true" hidden="false" outlineLevel="0" max="27" min="27" style="97" width="4.29"/>
    <col collapsed="false" customWidth="true" hidden="false" outlineLevel="0" max="29" min="28" style="97" width="4.14"/>
    <col collapsed="false" customWidth="true" hidden="false" outlineLevel="0" max="38" min="38" style="97" width="13.86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n">
        <v>1</v>
      </c>
      <c r="I1" s="6" t="n">
        <v>0.75</v>
      </c>
      <c r="J1" s="6" t="n">
        <v>0.5</v>
      </c>
      <c r="K1" s="6" t="n">
        <v>0.25</v>
      </c>
      <c r="L1" s="7" t="n">
        <v>0</v>
      </c>
      <c r="M1" s="8" t="s">
        <v>7</v>
      </c>
      <c r="N1" s="3" t="s">
        <v>0</v>
      </c>
      <c r="O1" s="3" t="s">
        <v>1</v>
      </c>
      <c r="P1" s="3" t="s">
        <v>2</v>
      </c>
      <c r="Q1" s="4" t="s">
        <v>3</v>
      </c>
      <c r="R1" s="5" t="s">
        <v>4</v>
      </c>
      <c r="S1" s="5" t="s">
        <v>5</v>
      </c>
      <c r="T1" s="5" t="s">
        <v>6</v>
      </c>
      <c r="U1" s="6" t="n">
        <v>1</v>
      </c>
      <c r="V1" s="6" t="n">
        <v>0.75</v>
      </c>
      <c r="W1" s="6" t="n">
        <v>0.5</v>
      </c>
      <c r="X1" s="6" t="n">
        <v>0.25</v>
      </c>
      <c r="Y1" s="7" t="n">
        <v>0</v>
      </c>
      <c r="Z1" s="8" t="s">
        <v>7</v>
      </c>
      <c r="AA1" s="3" t="s">
        <v>0</v>
      </c>
      <c r="AB1" s="3" t="s">
        <v>1</v>
      </c>
      <c r="AC1" s="3" t="s">
        <v>2</v>
      </c>
      <c r="AD1" s="4" t="s">
        <v>3</v>
      </c>
      <c r="AE1" s="5" t="s">
        <v>4</v>
      </c>
      <c r="AF1" s="5" t="s">
        <v>5</v>
      </c>
      <c r="AG1" s="5" t="s">
        <v>6</v>
      </c>
      <c r="AH1" s="6" t="n">
        <v>1</v>
      </c>
      <c r="AI1" s="6" t="n">
        <v>0.75</v>
      </c>
      <c r="AJ1" s="6" t="n">
        <v>0.5</v>
      </c>
      <c r="AK1" s="6" t="n">
        <v>0.25</v>
      </c>
      <c r="AL1" s="7" t="n">
        <v>0</v>
      </c>
      <c r="AM1" s="8" t="s">
        <v>7</v>
      </c>
    </row>
    <row r="2" customFormat="false" ht="15" hidden="false" customHeight="false" outlineLevel="0" collapsed="false">
      <c r="A2" s="105" t="s">
        <v>8</v>
      </c>
      <c r="B2" s="106" t="s">
        <v>119</v>
      </c>
      <c r="C2" s="107" t="n">
        <v>1</v>
      </c>
      <c r="D2" s="12" t="n">
        <v>16.1</v>
      </c>
      <c r="E2" s="10" t="n">
        <v>0.97</v>
      </c>
      <c r="F2" s="10"/>
      <c r="G2" s="10" t="n">
        <v>8</v>
      </c>
      <c r="H2" s="10" t="n">
        <v>4</v>
      </c>
      <c r="I2" s="10"/>
      <c r="J2" s="10"/>
      <c r="K2" s="10"/>
      <c r="L2" s="11"/>
      <c r="M2" s="13" t="n">
        <f aca="false">SUM(I2:L2)</f>
        <v>0</v>
      </c>
      <c r="N2" s="105" t="s">
        <v>10</v>
      </c>
      <c r="O2" s="106" t="s">
        <v>119</v>
      </c>
      <c r="P2" s="107" t="n">
        <v>1</v>
      </c>
      <c r="Q2" s="12" t="n">
        <v>16.2</v>
      </c>
      <c r="R2" s="10" t="n">
        <v>1.06</v>
      </c>
      <c r="S2" s="10"/>
      <c r="T2" s="10" t="n">
        <v>10</v>
      </c>
      <c r="U2" s="10" t="n">
        <v>2</v>
      </c>
      <c r="V2" s="10"/>
      <c r="W2" s="10"/>
      <c r="X2" s="10"/>
      <c r="Y2" s="11"/>
      <c r="Z2" s="13" t="n">
        <f aca="false">SUM(V2:Y2)</f>
        <v>0</v>
      </c>
      <c r="AA2" s="108" t="s">
        <v>11</v>
      </c>
      <c r="AB2" s="109" t="s">
        <v>119</v>
      </c>
      <c r="AC2" s="107" t="n">
        <v>1</v>
      </c>
      <c r="AD2" s="17" t="n">
        <v>17.3</v>
      </c>
      <c r="AE2" s="18" t="n">
        <v>1.68</v>
      </c>
      <c r="AF2" s="15"/>
      <c r="AG2" s="15" t="n">
        <v>7</v>
      </c>
      <c r="AH2" s="15" t="n">
        <v>5</v>
      </c>
      <c r="AI2" s="15"/>
      <c r="AJ2" s="15"/>
      <c r="AK2" s="15"/>
      <c r="AL2" s="16"/>
      <c r="AM2" s="13" t="n">
        <f aca="false">SUM(AI2:AL2)</f>
        <v>0</v>
      </c>
    </row>
    <row r="3" customFormat="false" ht="15" hidden="false" customHeight="false" outlineLevel="0" collapsed="false">
      <c r="A3" s="110" t="s">
        <v>8</v>
      </c>
      <c r="B3" s="106" t="s">
        <v>119</v>
      </c>
      <c r="C3" s="111" t="n">
        <v>2</v>
      </c>
      <c r="D3" s="22" t="n">
        <v>18.2</v>
      </c>
      <c r="E3" s="20" t="n">
        <v>1.6</v>
      </c>
      <c r="F3" s="20"/>
      <c r="G3" s="20" t="n">
        <v>0</v>
      </c>
      <c r="H3" s="20" t="n">
        <v>12</v>
      </c>
      <c r="I3" s="20"/>
      <c r="J3" s="20"/>
      <c r="K3" s="20"/>
      <c r="L3" s="21"/>
      <c r="M3" s="13" t="n">
        <f aca="false">SUM(I3:L3)</f>
        <v>0</v>
      </c>
      <c r="N3" s="105" t="s">
        <v>10</v>
      </c>
      <c r="O3" s="106" t="s">
        <v>119</v>
      </c>
      <c r="P3" s="111" t="n">
        <v>2</v>
      </c>
      <c r="Q3" s="23" t="n">
        <v>17.1</v>
      </c>
      <c r="R3" s="24" t="n">
        <v>1.26</v>
      </c>
      <c r="S3" s="20"/>
      <c r="T3" s="20" t="n">
        <v>8</v>
      </c>
      <c r="U3" s="20" t="n">
        <v>3</v>
      </c>
      <c r="V3" s="20" t="n">
        <v>1</v>
      </c>
      <c r="W3" s="20"/>
      <c r="X3" s="20"/>
      <c r="Y3" s="21"/>
      <c r="Z3" s="13" t="n">
        <f aca="false">SUM(V3:Y3)</f>
        <v>1</v>
      </c>
      <c r="AA3" s="110" t="s">
        <v>11</v>
      </c>
      <c r="AB3" s="109" t="s">
        <v>119</v>
      </c>
      <c r="AC3" s="111" t="n">
        <v>2</v>
      </c>
      <c r="AD3" s="22" t="n">
        <v>19.2</v>
      </c>
      <c r="AE3" s="20" t="n">
        <v>2.13</v>
      </c>
      <c r="AF3" s="20"/>
      <c r="AG3" s="20" t="n">
        <v>10</v>
      </c>
      <c r="AH3" s="20" t="n">
        <v>2</v>
      </c>
      <c r="AI3" s="20"/>
      <c r="AJ3" s="20"/>
      <c r="AK3" s="20"/>
      <c r="AL3" s="21"/>
      <c r="AM3" s="13" t="n">
        <f aca="false">SUM(AI3:AL3)</f>
        <v>0</v>
      </c>
    </row>
    <row r="4" customFormat="false" ht="15" hidden="false" customHeight="false" outlineLevel="0" collapsed="false">
      <c r="A4" s="110" t="s">
        <v>8</v>
      </c>
      <c r="B4" s="106" t="s">
        <v>119</v>
      </c>
      <c r="C4" s="111" t="n">
        <v>3</v>
      </c>
      <c r="D4" s="22" t="n">
        <v>16.3</v>
      </c>
      <c r="E4" s="20" t="n">
        <v>0.96</v>
      </c>
      <c r="F4" s="20"/>
      <c r="G4" s="20" t="n">
        <v>5</v>
      </c>
      <c r="H4" s="20" t="n">
        <v>7</v>
      </c>
      <c r="I4" s="20"/>
      <c r="J4" s="20"/>
      <c r="K4" s="20"/>
      <c r="L4" s="21"/>
      <c r="M4" s="13" t="n">
        <f aca="false">SUM(I4:L4)</f>
        <v>0</v>
      </c>
      <c r="N4" s="105" t="s">
        <v>10</v>
      </c>
      <c r="O4" s="106" t="s">
        <v>119</v>
      </c>
      <c r="P4" s="111" t="n">
        <v>3</v>
      </c>
      <c r="Q4" s="22" t="n">
        <v>16.1</v>
      </c>
      <c r="R4" s="20" t="n">
        <v>1.21</v>
      </c>
      <c r="S4" s="20"/>
      <c r="T4" s="20" t="n">
        <v>9</v>
      </c>
      <c r="U4" s="20" t="n">
        <v>3</v>
      </c>
      <c r="V4" s="20"/>
      <c r="W4" s="20"/>
      <c r="X4" s="20"/>
      <c r="Y4" s="21"/>
      <c r="Z4" s="13" t="n">
        <f aca="false">SUM(V4:Y4)</f>
        <v>0</v>
      </c>
      <c r="AA4" s="110" t="s">
        <v>11</v>
      </c>
      <c r="AB4" s="109" t="s">
        <v>119</v>
      </c>
      <c r="AC4" s="111" t="n">
        <v>3</v>
      </c>
      <c r="AD4" s="22" t="n">
        <v>18.2</v>
      </c>
      <c r="AE4" s="20" t="n">
        <v>1.7</v>
      </c>
      <c r="AF4" s="20"/>
      <c r="AG4" s="20" t="n">
        <v>9</v>
      </c>
      <c r="AH4" s="20" t="n">
        <v>3</v>
      </c>
      <c r="AI4" s="20"/>
      <c r="AJ4" s="20"/>
      <c r="AK4" s="20"/>
      <c r="AL4" s="21"/>
      <c r="AM4" s="13" t="n">
        <f aca="false">SUM(AI4:AL4)</f>
        <v>0</v>
      </c>
    </row>
    <row r="5" customFormat="false" ht="15" hidden="false" customHeight="false" outlineLevel="0" collapsed="false">
      <c r="A5" s="112" t="s">
        <v>8</v>
      </c>
      <c r="B5" s="106" t="s">
        <v>119</v>
      </c>
      <c r="C5" s="113" t="n">
        <v>4</v>
      </c>
      <c r="D5" s="29" t="n">
        <v>19.1</v>
      </c>
      <c r="E5" s="27" t="n">
        <v>1.58</v>
      </c>
      <c r="F5" s="27"/>
      <c r="G5" s="27" t="n">
        <v>0</v>
      </c>
      <c r="H5" s="27" t="n">
        <v>12</v>
      </c>
      <c r="I5" s="27"/>
      <c r="J5" s="27"/>
      <c r="K5" s="27"/>
      <c r="L5" s="28"/>
      <c r="M5" s="13" t="n">
        <f aca="false">SUM(I5:L5)</f>
        <v>0</v>
      </c>
      <c r="N5" s="112" t="s">
        <v>10</v>
      </c>
      <c r="O5" s="106" t="s">
        <v>119</v>
      </c>
      <c r="P5" s="113" t="n">
        <v>4</v>
      </c>
      <c r="Q5" s="29" t="n">
        <v>19.7</v>
      </c>
      <c r="R5" s="27" t="n">
        <v>1.88</v>
      </c>
      <c r="S5" s="27"/>
      <c r="T5" s="27" t="n">
        <v>9</v>
      </c>
      <c r="U5" s="27" t="n">
        <v>2</v>
      </c>
      <c r="V5" s="27"/>
      <c r="W5" s="27" t="n">
        <v>1</v>
      </c>
      <c r="X5" s="27"/>
      <c r="Y5" s="28"/>
      <c r="Z5" s="13" t="n">
        <f aca="false">SUM(V5:Y5)</f>
        <v>1</v>
      </c>
      <c r="AA5" s="112" t="s">
        <v>11</v>
      </c>
      <c r="AB5" s="109" t="s">
        <v>119</v>
      </c>
      <c r="AC5" s="113" t="n">
        <v>4</v>
      </c>
      <c r="AD5" s="29" t="n">
        <v>16.7</v>
      </c>
      <c r="AE5" s="29" t="n">
        <v>1.17</v>
      </c>
      <c r="AF5" s="29"/>
      <c r="AG5" s="27" t="n">
        <v>12</v>
      </c>
      <c r="AH5" s="27" t="n">
        <v>0</v>
      </c>
      <c r="AI5" s="27"/>
      <c r="AJ5" s="27"/>
      <c r="AK5" s="27"/>
      <c r="AL5" s="28"/>
      <c r="AM5" s="13" t="n">
        <f aca="false">SUM(AI5:AL5)</f>
        <v>0</v>
      </c>
    </row>
    <row r="6" customFormat="false" ht="15" hidden="false" customHeight="false" outlineLevel="0" collapsed="false">
      <c r="A6" s="105" t="s">
        <v>8</v>
      </c>
      <c r="B6" s="106" t="s">
        <v>119</v>
      </c>
      <c r="C6" s="107" t="n">
        <v>5</v>
      </c>
      <c r="D6" s="12" t="n">
        <v>17.9</v>
      </c>
      <c r="E6" s="10" t="n">
        <v>1.2</v>
      </c>
      <c r="F6" s="10"/>
      <c r="G6" s="10" t="n">
        <v>5</v>
      </c>
      <c r="H6" s="10" t="n">
        <v>7</v>
      </c>
      <c r="I6" s="10"/>
      <c r="J6" s="10"/>
      <c r="K6" s="10"/>
      <c r="L6" s="11"/>
      <c r="M6" s="13" t="n">
        <f aca="false">SUM(I6:L6)</f>
        <v>0</v>
      </c>
      <c r="N6" s="105" t="s">
        <v>10</v>
      </c>
      <c r="O6" s="106" t="s">
        <v>119</v>
      </c>
      <c r="P6" s="107" t="n">
        <v>5</v>
      </c>
      <c r="Q6" s="12" t="n">
        <v>16.9</v>
      </c>
      <c r="R6" s="10" t="n">
        <v>1.12</v>
      </c>
      <c r="S6" s="10"/>
      <c r="T6" s="10" t="n">
        <v>9</v>
      </c>
      <c r="U6" s="10" t="n">
        <v>3</v>
      </c>
      <c r="V6" s="10"/>
      <c r="W6" s="10"/>
      <c r="X6" s="10"/>
      <c r="Y6" s="11"/>
      <c r="Z6" s="13" t="n">
        <f aca="false">SUM(V6:Y6)</f>
        <v>0</v>
      </c>
      <c r="AA6" s="105" t="s">
        <v>11</v>
      </c>
      <c r="AB6" s="109" t="s">
        <v>119</v>
      </c>
      <c r="AC6" s="107" t="n">
        <v>5</v>
      </c>
      <c r="AD6" s="12" t="n">
        <v>20.1</v>
      </c>
      <c r="AE6" s="10" t="n">
        <v>2.29</v>
      </c>
      <c r="AF6" s="10"/>
      <c r="AG6" s="10" t="n">
        <v>11</v>
      </c>
      <c r="AH6" s="10" t="n">
        <v>1</v>
      </c>
      <c r="AI6" s="10"/>
      <c r="AJ6" s="10"/>
      <c r="AK6" s="10"/>
      <c r="AL6" s="11"/>
      <c r="AM6" s="13" t="n">
        <f aca="false">SUM(AI6:AL6)</f>
        <v>0</v>
      </c>
    </row>
    <row r="7" customFormat="false" ht="15" hidden="false" customHeight="false" outlineLevel="0" collapsed="false">
      <c r="A7" s="110" t="s">
        <v>8</v>
      </c>
      <c r="B7" s="106" t="s">
        <v>119</v>
      </c>
      <c r="C7" s="111" t="n">
        <v>6</v>
      </c>
      <c r="D7" s="22" t="n">
        <v>18.2</v>
      </c>
      <c r="E7" s="20" t="n">
        <v>1.68</v>
      </c>
      <c r="F7" s="20"/>
      <c r="G7" s="20" t="n">
        <v>1</v>
      </c>
      <c r="H7" s="20" t="n">
        <v>9</v>
      </c>
      <c r="I7" s="20" t="n">
        <v>1</v>
      </c>
      <c r="J7" s="20"/>
      <c r="K7" s="20"/>
      <c r="L7" s="21"/>
      <c r="M7" s="13" t="n">
        <f aca="false">SUM(I7:L7)</f>
        <v>1</v>
      </c>
      <c r="N7" s="105" t="s">
        <v>10</v>
      </c>
      <c r="O7" s="106" t="s">
        <v>119</v>
      </c>
      <c r="P7" s="111" t="n">
        <v>6</v>
      </c>
      <c r="Q7" s="22" t="n">
        <v>18.7</v>
      </c>
      <c r="R7" s="20" t="n">
        <v>1.3</v>
      </c>
      <c r="S7" s="20"/>
      <c r="T7" s="20" t="n">
        <v>8</v>
      </c>
      <c r="U7" s="20" t="n">
        <v>4</v>
      </c>
      <c r="V7" s="20"/>
      <c r="W7" s="20"/>
      <c r="X7" s="20"/>
      <c r="Y7" s="21"/>
      <c r="Z7" s="13" t="n">
        <f aca="false">SUM(V7:Y7)</f>
        <v>0</v>
      </c>
      <c r="AA7" s="110" t="s">
        <v>11</v>
      </c>
      <c r="AB7" s="109" t="s">
        <v>119</v>
      </c>
      <c r="AC7" s="111" t="n">
        <v>6</v>
      </c>
      <c r="AD7" s="22" t="n">
        <v>19.1</v>
      </c>
      <c r="AE7" s="20" t="n">
        <v>2.11</v>
      </c>
      <c r="AF7" s="20"/>
      <c r="AG7" s="20" t="n">
        <v>6</v>
      </c>
      <c r="AH7" s="20" t="n">
        <v>6</v>
      </c>
      <c r="AI7" s="20"/>
      <c r="AJ7" s="20"/>
      <c r="AK7" s="20"/>
      <c r="AL7" s="21"/>
      <c r="AM7" s="13" t="n">
        <f aca="false">SUM(AI7:AL7)</f>
        <v>0</v>
      </c>
    </row>
    <row r="8" customFormat="false" ht="15" hidden="false" customHeight="false" outlineLevel="0" collapsed="false">
      <c r="A8" s="110" t="s">
        <v>8</v>
      </c>
      <c r="B8" s="106" t="s">
        <v>119</v>
      </c>
      <c r="C8" s="111" t="n">
        <v>7</v>
      </c>
      <c r="D8" s="22" t="n">
        <v>17.2</v>
      </c>
      <c r="E8" s="20" t="n">
        <v>1.22</v>
      </c>
      <c r="F8" s="20"/>
      <c r="G8" s="20" t="n">
        <v>3</v>
      </c>
      <c r="H8" s="20" t="n">
        <v>9</v>
      </c>
      <c r="I8" s="20"/>
      <c r="J8" s="20"/>
      <c r="K8" s="20"/>
      <c r="L8" s="21"/>
      <c r="M8" s="13" t="n">
        <f aca="false">SUM(I8:L8)</f>
        <v>0</v>
      </c>
      <c r="N8" s="105" t="s">
        <v>10</v>
      </c>
      <c r="O8" s="106" t="s">
        <v>119</v>
      </c>
      <c r="P8" s="111" t="n">
        <v>7</v>
      </c>
      <c r="Q8" s="22" t="n">
        <v>18.7</v>
      </c>
      <c r="R8" s="20" t="n">
        <v>1.42</v>
      </c>
      <c r="S8" s="20" t="s">
        <v>120</v>
      </c>
      <c r="T8" s="20" t="n">
        <v>12</v>
      </c>
      <c r="U8" s="20" t="n">
        <v>0</v>
      </c>
      <c r="V8" s="20"/>
      <c r="W8" s="20"/>
      <c r="X8" s="20"/>
      <c r="Y8" s="21"/>
      <c r="Z8" s="13" t="n">
        <f aca="false">SUM(V8:Y8)</f>
        <v>0</v>
      </c>
      <c r="AA8" s="110" t="s">
        <v>11</v>
      </c>
      <c r="AB8" s="109" t="s">
        <v>119</v>
      </c>
      <c r="AC8" s="111" t="n">
        <v>7</v>
      </c>
      <c r="AD8" s="22" t="n">
        <v>18.8</v>
      </c>
      <c r="AE8" s="20" t="n">
        <v>1.42</v>
      </c>
      <c r="AF8" s="20"/>
      <c r="AG8" s="20" t="n">
        <v>10</v>
      </c>
      <c r="AH8" s="20" t="n">
        <v>1</v>
      </c>
      <c r="AI8" s="20"/>
      <c r="AJ8" s="20"/>
      <c r="AK8" s="20"/>
      <c r="AL8" s="21" t="n">
        <v>1</v>
      </c>
      <c r="AM8" s="13" t="n">
        <f aca="false">SUM(AI8:AL8)</f>
        <v>1</v>
      </c>
    </row>
    <row r="9" customFormat="false" ht="15" hidden="false" customHeight="false" outlineLevel="0" collapsed="false">
      <c r="A9" s="112" t="s">
        <v>8</v>
      </c>
      <c r="B9" s="106" t="s">
        <v>119</v>
      </c>
      <c r="C9" s="113" t="n">
        <v>8</v>
      </c>
      <c r="D9" s="29" t="n">
        <v>19.9</v>
      </c>
      <c r="E9" s="27" t="n">
        <v>1.68</v>
      </c>
      <c r="F9" s="27"/>
      <c r="G9" s="27" t="n">
        <v>2</v>
      </c>
      <c r="H9" s="27" t="n">
        <v>10</v>
      </c>
      <c r="I9" s="27"/>
      <c r="J9" s="27"/>
      <c r="K9" s="27"/>
      <c r="L9" s="28"/>
      <c r="M9" s="13" t="n">
        <f aca="false">SUM(I9:L9)</f>
        <v>0</v>
      </c>
      <c r="N9" s="112" t="s">
        <v>10</v>
      </c>
      <c r="O9" s="106" t="s">
        <v>119</v>
      </c>
      <c r="P9" s="113" t="n">
        <v>8</v>
      </c>
      <c r="Q9" s="29" t="n">
        <v>19.1</v>
      </c>
      <c r="R9" s="27" t="n">
        <v>1.76</v>
      </c>
      <c r="S9" s="27"/>
      <c r="T9" s="27" t="n">
        <v>6</v>
      </c>
      <c r="U9" s="27" t="n">
        <v>6</v>
      </c>
      <c r="V9" s="27"/>
      <c r="W9" s="27"/>
      <c r="X9" s="27"/>
      <c r="Y9" s="28"/>
      <c r="Z9" s="13" t="n">
        <f aca="false">SUM(V9:Y9)</f>
        <v>0</v>
      </c>
      <c r="AA9" s="112" t="s">
        <v>11</v>
      </c>
      <c r="AB9" s="109" t="s">
        <v>119</v>
      </c>
      <c r="AC9" s="113" t="n">
        <v>8</v>
      </c>
      <c r="AD9" s="29" t="n">
        <v>19.9</v>
      </c>
      <c r="AE9" s="27" t="n">
        <v>1.84</v>
      </c>
      <c r="AF9" s="27"/>
      <c r="AG9" s="27" t="n">
        <v>7</v>
      </c>
      <c r="AH9" s="27" t="n">
        <v>4</v>
      </c>
      <c r="AI9" s="27"/>
      <c r="AJ9" s="27" t="n">
        <v>1</v>
      </c>
      <c r="AK9" s="27"/>
      <c r="AL9" s="28"/>
      <c r="AM9" s="13" t="n">
        <f aca="false">SUM(AI9:AL9)</f>
        <v>1</v>
      </c>
    </row>
    <row r="10" customFormat="false" ht="15" hidden="false" customHeight="false" outlineLevel="0" collapsed="false">
      <c r="A10" s="114" t="s">
        <v>8</v>
      </c>
      <c r="B10" s="115" t="s">
        <v>121</v>
      </c>
      <c r="C10" s="116" t="n">
        <v>1</v>
      </c>
      <c r="D10" s="37" t="n">
        <v>18.2</v>
      </c>
      <c r="E10" s="38" t="n">
        <v>1.5</v>
      </c>
      <c r="F10" s="35"/>
      <c r="G10" s="35" t="n">
        <v>0</v>
      </c>
      <c r="H10" s="35" t="n">
        <v>12</v>
      </c>
      <c r="I10" s="35"/>
      <c r="J10" s="35"/>
      <c r="K10" s="35"/>
      <c r="L10" s="36"/>
      <c r="M10" s="13" t="n">
        <f aca="false">SUM(I10:L10)</f>
        <v>0</v>
      </c>
      <c r="N10" s="108" t="s">
        <v>10</v>
      </c>
      <c r="O10" s="115" t="s">
        <v>121</v>
      </c>
      <c r="P10" s="116" t="n">
        <v>1</v>
      </c>
      <c r="Q10" s="39" t="n">
        <v>17.1</v>
      </c>
      <c r="R10" s="35" t="n">
        <v>1.16</v>
      </c>
      <c r="S10" s="35"/>
      <c r="T10" s="35" t="n">
        <v>11</v>
      </c>
      <c r="U10" s="35" t="n">
        <v>1</v>
      </c>
      <c r="V10" s="35"/>
      <c r="W10" s="35"/>
      <c r="X10" s="35"/>
      <c r="Y10" s="36"/>
      <c r="Z10" s="13" t="n">
        <f aca="false">SUM(V10:Y10)</f>
        <v>0</v>
      </c>
      <c r="AA10" s="117" t="s">
        <v>11</v>
      </c>
      <c r="AB10" s="118" t="s">
        <v>121</v>
      </c>
      <c r="AC10" s="116" t="n">
        <v>1</v>
      </c>
      <c r="AD10" s="43" t="n">
        <v>16.2</v>
      </c>
      <c r="AE10" s="41" t="n">
        <v>1.36</v>
      </c>
      <c r="AF10" s="41"/>
      <c r="AG10" s="41" t="n">
        <v>11</v>
      </c>
      <c r="AH10" s="41" t="n">
        <v>1</v>
      </c>
      <c r="AI10" s="41"/>
      <c r="AJ10" s="41"/>
      <c r="AK10" s="41"/>
      <c r="AL10" s="42"/>
      <c r="AM10" s="13" t="n">
        <f aca="false">SUM(AI10:AL10)</f>
        <v>0</v>
      </c>
    </row>
    <row r="11" customFormat="false" ht="15" hidden="false" customHeight="false" outlineLevel="0" collapsed="false">
      <c r="A11" s="119" t="s">
        <v>8</v>
      </c>
      <c r="B11" s="115" t="s">
        <v>121</v>
      </c>
      <c r="C11" s="120" t="n">
        <v>2</v>
      </c>
      <c r="D11" s="47" t="n">
        <v>18.4</v>
      </c>
      <c r="E11" s="45" t="n">
        <v>1.35</v>
      </c>
      <c r="F11" s="45"/>
      <c r="G11" s="45" t="n">
        <v>4</v>
      </c>
      <c r="H11" s="45" t="n">
        <v>8</v>
      </c>
      <c r="I11" s="45"/>
      <c r="J11" s="45"/>
      <c r="K11" s="45"/>
      <c r="L11" s="46"/>
      <c r="M11" s="13" t="n">
        <f aca="false">SUM(I11:L11)</f>
        <v>0</v>
      </c>
      <c r="N11" s="105" t="s">
        <v>10</v>
      </c>
      <c r="O11" s="115" t="s">
        <v>121</v>
      </c>
      <c r="P11" s="120" t="n">
        <v>2</v>
      </c>
      <c r="Q11" s="47" t="n">
        <v>17.4</v>
      </c>
      <c r="R11" s="45" t="n">
        <v>1.23</v>
      </c>
      <c r="S11" s="45"/>
      <c r="T11" s="45" t="n">
        <v>9</v>
      </c>
      <c r="U11" s="45" t="n">
        <v>3</v>
      </c>
      <c r="V11" s="45"/>
      <c r="W11" s="45"/>
      <c r="X11" s="45"/>
      <c r="Y11" s="46"/>
      <c r="Z11" s="13" t="n">
        <f aca="false">SUM(V11:Y11)</f>
        <v>0</v>
      </c>
      <c r="AA11" s="119" t="s">
        <v>11</v>
      </c>
      <c r="AB11" s="118" t="s">
        <v>121</v>
      </c>
      <c r="AC11" s="120" t="n">
        <v>2</v>
      </c>
      <c r="AD11" s="47" t="n">
        <v>17.8</v>
      </c>
      <c r="AE11" s="45" t="n">
        <v>1.47</v>
      </c>
      <c r="AF11" s="45"/>
      <c r="AG11" s="45" t="n">
        <v>12</v>
      </c>
      <c r="AH11" s="45" t="n">
        <v>0</v>
      </c>
      <c r="AI11" s="45"/>
      <c r="AJ11" s="45"/>
      <c r="AK11" s="45"/>
      <c r="AL11" s="46"/>
      <c r="AM11" s="13" t="n">
        <f aca="false">SUM(AI11:AL11)</f>
        <v>0</v>
      </c>
    </row>
    <row r="12" customFormat="false" ht="15" hidden="false" customHeight="false" outlineLevel="0" collapsed="false">
      <c r="A12" s="119" t="s">
        <v>8</v>
      </c>
      <c r="B12" s="115" t="s">
        <v>121</v>
      </c>
      <c r="C12" s="120" t="n">
        <v>3</v>
      </c>
      <c r="D12" s="48" t="n">
        <v>18.8</v>
      </c>
      <c r="E12" s="49" t="n">
        <v>1.56</v>
      </c>
      <c r="F12" s="49"/>
      <c r="G12" s="49" t="n">
        <v>6</v>
      </c>
      <c r="H12" s="49" t="n">
        <v>6</v>
      </c>
      <c r="I12" s="49"/>
      <c r="J12" s="49"/>
      <c r="K12" s="49"/>
      <c r="L12" s="50"/>
      <c r="M12" s="13" t="n">
        <f aca="false">SUM(I12:L12)</f>
        <v>0</v>
      </c>
      <c r="N12" s="105" t="s">
        <v>10</v>
      </c>
      <c r="O12" s="115" t="s">
        <v>121</v>
      </c>
      <c r="P12" s="120" t="n">
        <v>3</v>
      </c>
      <c r="Q12" s="47" t="n">
        <v>18.2</v>
      </c>
      <c r="R12" s="45" t="n">
        <v>1.52</v>
      </c>
      <c r="S12" s="45"/>
      <c r="T12" s="45" t="n">
        <v>9</v>
      </c>
      <c r="U12" s="45" t="n">
        <v>3</v>
      </c>
      <c r="V12" s="45"/>
      <c r="W12" s="45"/>
      <c r="X12" s="45"/>
      <c r="Y12" s="46"/>
      <c r="Z12" s="13" t="n">
        <f aca="false">SUM(V12:Y12)</f>
        <v>0</v>
      </c>
      <c r="AA12" s="119" t="s">
        <v>11</v>
      </c>
      <c r="AB12" s="118" t="s">
        <v>121</v>
      </c>
      <c r="AC12" s="120" t="n">
        <v>3</v>
      </c>
      <c r="AD12" s="47" t="n">
        <v>16.2</v>
      </c>
      <c r="AE12" s="45" t="n">
        <v>1.21</v>
      </c>
      <c r="AF12" s="45"/>
      <c r="AG12" s="45" t="n">
        <v>9</v>
      </c>
      <c r="AH12" s="45" t="n">
        <v>3</v>
      </c>
      <c r="AI12" s="45"/>
      <c r="AJ12" s="45"/>
      <c r="AK12" s="45"/>
      <c r="AL12" s="46"/>
      <c r="AM12" s="13" t="n">
        <f aca="false">SUM(AI12:AL12)</f>
        <v>0</v>
      </c>
    </row>
    <row r="13" customFormat="false" ht="15" hidden="false" customHeight="false" outlineLevel="0" collapsed="false">
      <c r="A13" s="121" t="s">
        <v>8</v>
      </c>
      <c r="B13" s="122" t="s">
        <v>121</v>
      </c>
      <c r="C13" s="123" t="n">
        <v>4</v>
      </c>
      <c r="D13" s="124" t="n">
        <v>19.1</v>
      </c>
      <c r="E13" s="124" t="n">
        <v>1.76</v>
      </c>
      <c r="F13" s="124"/>
      <c r="G13" s="124" t="n">
        <v>1</v>
      </c>
      <c r="H13" s="124" t="n">
        <v>10</v>
      </c>
      <c r="I13" s="124"/>
      <c r="J13" s="124" t="n">
        <v>1</v>
      </c>
      <c r="K13" s="124"/>
      <c r="L13" s="125"/>
      <c r="M13" s="13" t="n">
        <f aca="false">SUM(I13:L13)</f>
        <v>1</v>
      </c>
      <c r="N13" s="121" t="s">
        <v>10</v>
      </c>
      <c r="O13" s="122" t="s">
        <v>121</v>
      </c>
      <c r="P13" s="123" t="n">
        <v>4</v>
      </c>
      <c r="Q13" s="126" t="n">
        <v>17.9</v>
      </c>
      <c r="R13" s="124" t="n">
        <v>1.22</v>
      </c>
      <c r="S13" s="124"/>
      <c r="T13" s="124" t="n">
        <v>10</v>
      </c>
      <c r="U13" s="124" t="n">
        <v>2</v>
      </c>
      <c r="V13" s="124"/>
      <c r="W13" s="124"/>
      <c r="X13" s="124"/>
      <c r="Y13" s="125"/>
      <c r="Z13" s="13" t="n">
        <f aca="false">SUM(V13:Y13)</f>
        <v>0</v>
      </c>
      <c r="AA13" s="121" t="s">
        <v>11</v>
      </c>
      <c r="AB13" s="127" t="s">
        <v>121</v>
      </c>
      <c r="AC13" s="123" t="n">
        <v>4</v>
      </c>
      <c r="AD13" s="126" t="n">
        <v>16.2</v>
      </c>
      <c r="AE13" s="124" t="n">
        <v>1.38</v>
      </c>
      <c r="AF13" s="124"/>
      <c r="AG13" s="124" t="n">
        <v>11</v>
      </c>
      <c r="AH13" s="124" t="n">
        <v>1</v>
      </c>
      <c r="AI13" s="124"/>
      <c r="AJ13" s="124"/>
      <c r="AK13" s="124"/>
      <c r="AL13" s="125"/>
      <c r="AM13" s="13" t="n">
        <f aca="false">SUM(AI13:AL13)</f>
        <v>0</v>
      </c>
    </row>
    <row r="14" customFormat="false" ht="15" hidden="false" customHeight="false" outlineLevel="0" collapsed="false">
      <c r="A14" s="117" t="s">
        <v>8</v>
      </c>
      <c r="B14" s="115" t="s">
        <v>121</v>
      </c>
      <c r="C14" s="116" t="n">
        <v>5</v>
      </c>
      <c r="D14" s="43" t="n">
        <v>18.9</v>
      </c>
      <c r="E14" s="41" t="n">
        <v>1.36</v>
      </c>
      <c r="F14" s="41"/>
      <c r="G14" s="41" t="n">
        <v>0</v>
      </c>
      <c r="H14" s="41" t="n">
        <v>12</v>
      </c>
      <c r="I14" s="41"/>
      <c r="J14" s="41"/>
      <c r="K14" s="41"/>
      <c r="L14" s="42"/>
      <c r="M14" s="13" t="n">
        <f aca="false">SUM(I14:L14)</f>
        <v>0</v>
      </c>
      <c r="N14" s="105" t="s">
        <v>10</v>
      </c>
      <c r="O14" s="115" t="s">
        <v>121</v>
      </c>
      <c r="P14" s="116" t="n">
        <v>5</v>
      </c>
      <c r="Q14" s="43" t="n">
        <v>20.7</v>
      </c>
      <c r="R14" s="41" t="n">
        <v>1.93</v>
      </c>
      <c r="S14" s="41"/>
      <c r="T14" s="41" t="n">
        <v>12</v>
      </c>
      <c r="U14" s="41" t="n">
        <v>0</v>
      </c>
      <c r="V14" s="41"/>
      <c r="W14" s="41"/>
      <c r="X14" s="41"/>
      <c r="Y14" s="42"/>
      <c r="Z14" s="13" t="n">
        <f aca="false">SUM(V14:Y14)</f>
        <v>0</v>
      </c>
      <c r="AA14" s="117" t="s">
        <v>11</v>
      </c>
      <c r="AB14" s="118" t="s">
        <v>121</v>
      </c>
      <c r="AC14" s="116" t="n">
        <v>5</v>
      </c>
      <c r="AD14" s="43" t="n">
        <v>19.6</v>
      </c>
      <c r="AE14" s="41" t="n">
        <v>1.76</v>
      </c>
      <c r="AF14" s="41"/>
      <c r="AG14" s="41" t="n">
        <v>9</v>
      </c>
      <c r="AH14" s="41" t="n">
        <v>3</v>
      </c>
      <c r="AI14" s="41"/>
      <c r="AJ14" s="41"/>
      <c r="AK14" s="41"/>
      <c r="AL14" s="42"/>
      <c r="AM14" s="13" t="n">
        <f aca="false">SUM(AI14:AL14)</f>
        <v>0</v>
      </c>
    </row>
    <row r="15" customFormat="false" ht="15" hidden="false" customHeight="false" outlineLevel="0" collapsed="false">
      <c r="A15" s="119" t="s">
        <v>8</v>
      </c>
      <c r="B15" s="115" t="s">
        <v>121</v>
      </c>
      <c r="C15" s="120" t="n">
        <v>6</v>
      </c>
      <c r="D15" s="47" t="n">
        <v>19.7</v>
      </c>
      <c r="E15" s="45" t="n">
        <v>1.54</v>
      </c>
      <c r="F15" s="45"/>
      <c r="G15" s="45" t="n">
        <v>7</v>
      </c>
      <c r="H15" s="45" t="n">
        <v>5</v>
      </c>
      <c r="I15" s="45"/>
      <c r="J15" s="45"/>
      <c r="K15" s="45"/>
      <c r="L15" s="46"/>
      <c r="M15" s="13" t="n">
        <f aca="false">SUM(I15:L15)</f>
        <v>0</v>
      </c>
      <c r="N15" s="105" t="s">
        <v>10</v>
      </c>
      <c r="O15" s="115" t="s">
        <v>121</v>
      </c>
      <c r="P15" s="120" t="n">
        <v>6</v>
      </c>
      <c r="Q15" s="47" t="n">
        <v>20.3</v>
      </c>
      <c r="R15" s="45" t="n">
        <v>1.89</v>
      </c>
      <c r="S15" s="45"/>
      <c r="T15" s="45" t="n">
        <v>8</v>
      </c>
      <c r="U15" s="45" t="n">
        <v>4</v>
      </c>
      <c r="V15" s="45"/>
      <c r="W15" s="45"/>
      <c r="X15" s="45"/>
      <c r="Y15" s="46"/>
      <c r="Z15" s="13" t="n">
        <f aca="false">SUM(V15:Y15)</f>
        <v>0</v>
      </c>
      <c r="AA15" s="119" t="s">
        <v>11</v>
      </c>
      <c r="AB15" s="118" t="s">
        <v>121</v>
      </c>
      <c r="AC15" s="120" t="n">
        <v>6</v>
      </c>
      <c r="AD15" s="47" t="n">
        <v>18.6</v>
      </c>
      <c r="AE15" s="45" t="n">
        <v>1.53</v>
      </c>
      <c r="AF15" s="45"/>
      <c r="AG15" s="45" t="n">
        <v>9</v>
      </c>
      <c r="AH15" s="45" t="n">
        <v>3</v>
      </c>
      <c r="AI15" s="45"/>
      <c r="AJ15" s="45"/>
      <c r="AK15" s="45"/>
      <c r="AL15" s="46"/>
      <c r="AM15" s="13" t="n">
        <f aca="false">SUM(AI15:AL15)</f>
        <v>0</v>
      </c>
    </row>
    <row r="16" customFormat="false" ht="15" hidden="false" customHeight="false" outlineLevel="0" collapsed="false">
      <c r="A16" s="119" t="s">
        <v>8</v>
      </c>
      <c r="B16" s="115" t="s">
        <v>121</v>
      </c>
      <c r="C16" s="120" t="n">
        <v>7</v>
      </c>
      <c r="D16" s="47" t="n">
        <v>17.3</v>
      </c>
      <c r="E16" s="45" t="n">
        <v>1.14</v>
      </c>
      <c r="F16" s="45"/>
      <c r="G16" s="45" t="n">
        <v>6</v>
      </c>
      <c r="H16" s="45" t="n">
        <v>6</v>
      </c>
      <c r="I16" s="45"/>
      <c r="J16" s="45"/>
      <c r="K16" s="45"/>
      <c r="L16" s="46"/>
      <c r="M16" s="13" t="n">
        <f aca="false">SUM(I16:L16)</f>
        <v>0</v>
      </c>
      <c r="N16" s="105" t="s">
        <v>10</v>
      </c>
      <c r="O16" s="115" t="s">
        <v>121</v>
      </c>
      <c r="P16" s="120" t="n">
        <v>7</v>
      </c>
      <c r="Q16" s="47" t="n">
        <v>20.3</v>
      </c>
      <c r="R16" s="45" t="n">
        <v>1.75</v>
      </c>
      <c r="S16" s="45" t="s">
        <v>122</v>
      </c>
      <c r="T16" s="1" t="n">
        <v>7</v>
      </c>
      <c r="U16" s="45" t="n">
        <v>4</v>
      </c>
      <c r="V16" s="45"/>
      <c r="W16" s="45"/>
      <c r="X16" s="45"/>
      <c r="Y16" s="46" t="n">
        <v>1</v>
      </c>
      <c r="Z16" s="13" t="n">
        <f aca="false">SUM(V16:Y16)</f>
        <v>1</v>
      </c>
      <c r="AA16" s="119" t="s">
        <v>11</v>
      </c>
      <c r="AB16" s="118" t="s">
        <v>121</v>
      </c>
      <c r="AC16" s="120" t="n">
        <v>7</v>
      </c>
      <c r="AD16" s="47" t="n">
        <v>19.8</v>
      </c>
      <c r="AE16" s="45" t="n">
        <v>2</v>
      </c>
      <c r="AF16" s="45"/>
      <c r="AG16" s="45" t="n">
        <v>9</v>
      </c>
      <c r="AH16" s="45" t="n">
        <v>3</v>
      </c>
      <c r="AI16" s="45"/>
      <c r="AJ16" s="45"/>
      <c r="AK16" s="45"/>
      <c r="AL16" s="46"/>
      <c r="AM16" s="13" t="n">
        <f aca="false">SUM(AI16:AL16)</f>
        <v>0</v>
      </c>
    </row>
    <row r="17" customFormat="false" ht="15" hidden="false" customHeight="false" outlineLevel="0" collapsed="false">
      <c r="A17" s="128" t="s">
        <v>8</v>
      </c>
      <c r="B17" s="129" t="s">
        <v>121</v>
      </c>
      <c r="C17" s="130" t="n">
        <v>8</v>
      </c>
      <c r="D17" s="58" t="n">
        <v>18</v>
      </c>
      <c r="E17" s="56" t="n">
        <v>1.35</v>
      </c>
      <c r="F17" s="56"/>
      <c r="G17" s="56" t="n">
        <v>5</v>
      </c>
      <c r="H17" s="56" t="n">
        <v>7</v>
      </c>
      <c r="I17" s="56"/>
      <c r="J17" s="56"/>
      <c r="K17" s="56"/>
      <c r="L17" s="57"/>
      <c r="M17" s="13" t="n">
        <f aca="false">SUM(I17:L17)</f>
        <v>0</v>
      </c>
      <c r="N17" s="112" t="s">
        <v>10</v>
      </c>
      <c r="O17" s="129" t="s">
        <v>121</v>
      </c>
      <c r="P17" s="130" t="n">
        <v>8</v>
      </c>
      <c r="Q17" s="58" t="n">
        <v>18.9</v>
      </c>
      <c r="R17" s="56" t="n">
        <v>1.31</v>
      </c>
      <c r="S17" s="56"/>
      <c r="T17" s="56" t="n">
        <v>7</v>
      </c>
      <c r="U17" s="56" t="n">
        <v>5</v>
      </c>
      <c r="V17" s="56"/>
      <c r="W17" s="56"/>
      <c r="X17" s="56"/>
      <c r="Y17" s="57"/>
      <c r="Z17" s="13" t="n">
        <f aca="false">SUM(V17:Y17)</f>
        <v>0</v>
      </c>
      <c r="AA17" s="128" t="s">
        <v>11</v>
      </c>
      <c r="AB17" s="131" t="s">
        <v>121</v>
      </c>
      <c r="AC17" s="130" t="n">
        <v>8</v>
      </c>
      <c r="AD17" s="58" t="n">
        <v>19.9</v>
      </c>
      <c r="AE17" s="56" t="n">
        <v>1.98</v>
      </c>
      <c r="AF17" s="56"/>
      <c r="AG17" s="56" t="n">
        <v>9</v>
      </c>
      <c r="AH17" s="56" t="n">
        <v>3</v>
      </c>
      <c r="AI17" s="56"/>
      <c r="AJ17" s="56"/>
      <c r="AK17" s="56"/>
      <c r="AL17" s="57"/>
      <c r="AM17" s="13" t="n">
        <f aca="false">SUM(AI17:AL17)</f>
        <v>0</v>
      </c>
    </row>
    <row r="18" customFormat="false" ht="15" hidden="false" customHeight="false" outlineLevel="0" collapsed="false">
      <c r="A18" s="105" t="s">
        <v>8</v>
      </c>
      <c r="B18" s="106" t="s">
        <v>119</v>
      </c>
      <c r="C18" s="107" t="n">
        <v>1</v>
      </c>
      <c r="D18" s="12" t="n">
        <v>18.8</v>
      </c>
      <c r="E18" s="10" t="n">
        <v>1.26</v>
      </c>
      <c r="F18" s="10"/>
      <c r="G18" s="10" t="n">
        <v>5</v>
      </c>
      <c r="H18" s="10" t="n">
        <v>7</v>
      </c>
      <c r="I18" s="10"/>
      <c r="J18" s="10"/>
      <c r="K18" s="10"/>
      <c r="L18" s="11"/>
      <c r="M18" s="13" t="n">
        <f aca="false">SUM(I18:L18)</f>
        <v>0</v>
      </c>
      <c r="N18" s="105" t="s">
        <v>10</v>
      </c>
      <c r="O18" s="106" t="s">
        <v>119</v>
      </c>
      <c r="P18" s="107" t="n">
        <v>1</v>
      </c>
      <c r="Q18" s="12" t="n">
        <v>19</v>
      </c>
      <c r="R18" s="10" t="n">
        <v>1.72</v>
      </c>
      <c r="S18" s="10"/>
      <c r="T18" s="10" t="n">
        <v>11</v>
      </c>
      <c r="U18" s="10" t="n">
        <v>1</v>
      </c>
      <c r="V18" s="10"/>
      <c r="W18" s="10"/>
      <c r="X18" s="10"/>
      <c r="Y18" s="11"/>
      <c r="Z18" s="13" t="n">
        <f aca="false">SUM(V18:Y18)</f>
        <v>0</v>
      </c>
      <c r="AA18" s="105" t="s">
        <v>11</v>
      </c>
      <c r="AB18" s="106" t="s">
        <v>119</v>
      </c>
      <c r="AC18" s="107" t="n">
        <v>1</v>
      </c>
      <c r="AD18" s="12" t="n">
        <v>16.8</v>
      </c>
      <c r="AE18" s="10" t="n">
        <v>1.15</v>
      </c>
      <c r="AF18" s="10"/>
      <c r="AG18" s="10" t="n">
        <v>12</v>
      </c>
      <c r="AH18" s="10"/>
      <c r="AI18" s="10"/>
      <c r="AJ18" s="10"/>
      <c r="AK18" s="10"/>
      <c r="AL18" s="11"/>
      <c r="AM18" s="13" t="n">
        <f aca="false">SUM(AI18:AL18)</f>
        <v>0</v>
      </c>
    </row>
    <row r="19" customFormat="false" ht="15" hidden="false" customHeight="false" outlineLevel="0" collapsed="false">
      <c r="A19" s="110" t="s">
        <v>8</v>
      </c>
      <c r="B19" s="106" t="s">
        <v>119</v>
      </c>
      <c r="C19" s="111" t="n">
        <v>2</v>
      </c>
      <c r="D19" s="22" t="n">
        <v>17.4</v>
      </c>
      <c r="E19" s="20" t="n">
        <v>1.24</v>
      </c>
      <c r="F19" s="20"/>
      <c r="G19" s="20" t="n">
        <v>8</v>
      </c>
      <c r="H19" s="20" t="n">
        <v>3</v>
      </c>
      <c r="I19" s="20"/>
      <c r="J19" s="20"/>
      <c r="K19" s="20"/>
      <c r="L19" s="21" t="n">
        <v>1</v>
      </c>
      <c r="M19" s="13" t="n">
        <f aca="false">SUM(I19:L19)</f>
        <v>1</v>
      </c>
      <c r="N19" s="105" t="s">
        <v>10</v>
      </c>
      <c r="O19" s="106" t="s">
        <v>119</v>
      </c>
      <c r="P19" s="111" t="n">
        <v>2</v>
      </c>
      <c r="Q19" s="22" t="n">
        <v>18.5</v>
      </c>
      <c r="R19" s="20" t="n">
        <v>1.68</v>
      </c>
      <c r="S19" s="20"/>
      <c r="T19" s="20" t="n">
        <v>10</v>
      </c>
      <c r="U19" s="20" t="n">
        <v>1</v>
      </c>
      <c r="V19" s="20"/>
      <c r="W19" s="20"/>
      <c r="X19" s="20"/>
      <c r="Y19" s="21" t="n">
        <v>1</v>
      </c>
      <c r="Z19" s="13" t="n">
        <f aca="false">SUM(V19:Y19)</f>
        <v>1</v>
      </c>
      <c r="AA19" s="110" t="s">
        <v>11</v>
      </c>
      <c r="AB19" s="109" t="s">
        <v>119</v>
      </c>
      <c r="AC19" s="111" t="n">
        <v>2</v>
      </c>
      <c r="AD19" s="22" t="n">
        <v>18.2</v>
      </c>
      <c r="AE19" s="20" t="n">
        <v>1.28</v>
      </c>
      <c r="AF19" s="20" t="s">
        <v>120</v>
      </c>
      <c r="AG19" s="20" t="n">
        <v>10</v>
      </c>
      <c r="AH19" s="20" t="n">
        <v>2</v>
      </c>
      <c r="AI19" s="20"/>
      <c r="AJ19" s="20"/>
      <c r="AK19" s="20"/>
      <c r="AL19" s="21"/>
      <c r="AM19" s="13" t="n">
        <f aca="false">SUM(AI19:AL19)</f>
        <v>0</v>
      </c>
    </row>
    <row r="20" customFormat="false" ht="15" hidden="false" customHeight="false" outlineLevel="0" collapsed="false">
      <c r="A20" s="110" t="s">
        <v>8</v>
      </c>
      <c r="B20" s="106" t="s">
        <v>119</v>
      </c>
      <c r="C20" s="111" t="n">
        <v>3</v>
      </c>
      <c r="D20" s="22" t="n">
        <v>17</v>
      </c>
      <c r="E20" s="20" t="n">
        <v>1.22</v>
      </c>
      <c r="F20" s="20"/>
      <c r="G20" s="20" t="n">
        <v>2</v>
      </c>
      <c r="H20" s="20" t="n">
        <v>10</v>
      </c>
      <c r="I20" s="20"/>
      <c r="J20" s="20"/>
      <c r="K20" s="20"/>
      <c r="L20" s="21"/>
      <c r="M20" s="13" t="n">
        <f aca="false">SUM(I20:L20)</f>
        <v>0</v>
      </c>
      <c r="N20" s="105" t="s">
        <v>10</v>
      </c>
      <c r="O20" s="106" t="s">
        <v>119</v>
      </c>
      <c r="P20" s="111" t="n">
        <v>3</v>
      </c>
      <c r="Q20" s="22" t="n">
        <v>16.1</v>
      </c>
      <c r="R20" s="20" t="n">
        <v>1.16</v>
      </c>
      <c r="S20" s="20"/>
      <c r="T20" s="20" t="n">
        <v>10</v>
      </c>
      <c r="U20" s="20" t="n">
        <v>2</v>
      </c>
      <c r="V20" s="20"/>
      <c r="W20" s="20"/>
      <c r="X20" s="20"/>
      <c r="Y20" s="21"/>
      <c r="Z20" s="13" t="n">
        <f aca="false">SUM(V20:Y20)</f>
        <v>0</v>
      </c>
      <c r="AA20" s="110" t="s">
        <v>11</v>
      </c>
      <c r="AB20" s="109" t="s">
        <v>119</v>
      </c>
      <c r="AC20" s="111" t="n">
        <v>3</v>
      </c>
      <c r="AD20" s="22" t="n">
        <v>16.5</v>
      </c>
      <c r="AE20" s="20" t="n">
        <v>1.16</v>
      </c>
      <c r="AF20" s="20"/>
      <c r="AG20" s="20" t="n">
        <v>11</v>
      </c>
      <c r="AH20" s="20" t="n">
        <v>1</v>
      </c>
      <c r="AI20" s="20"/>
      <c r="AJ20" s="20"/>
      <c r="AK20" s="20"/>
      <c r="AL20" s="21"/>
      <c r="AM20" s="13" t="n">
        <f aca="false">SUM(AI20:AL20)</f>
        <v>0</v>
      </c>
    </row>
    <row r="21" customFormat="false" ht="15" hidden="false" customHeight="false" outlineLevel="0" collapsed="false">
      <c r="A21" s="112" t="s">
        <v>8</v>
      </c>
      <c r="B21" s="106" t="s">
        <v>119</v>
      </c>
      <c r="C21" s="113" t="n">
        <v>4</v>
      </c>
      <c r="D21" s="29" t="n">
        <v>20.7</v>
      </c>
      <c r="E21" s="27" t="n">
        <v>2.09</v>
      </c>
      <c r="F21" s="27"/>
      <c r="G21" s="27" t="n">
        <v>2</v>
      </c>
      <c r="H21" s="27" t="n">
        <v>10</v>
      </c>
      <c r="I21" s="27"/>
      <c r="J21" s="27"/>
      <c r="K21" s="27"/>
      <c r="L21" s="28"/>
      <c r="M21" s="13" t="n">
        <f aca="false">SUM(I21:L21)</f>
        <v>0</v>
      </c>
      <c r="N21" s="112" t="s">
        <v>10</v>
      </c>
      <c r="O21" s="106" t="s">
        <v>119</v>
      </c>
      <c r="P21" s="113" t="n">
        <v>4</v>
      </c>
      <c r="Q21" s="29" t="n">
        <v>19.5</v>
      </c>
      <c r="R21" s="27" t="n">
        <v>1.98</v>
      </c>
      <c r="S21" s="27"/>
      <c r="T21" s="27" t="n">
        <v>2</v>
      </c>
      <c r="U21" s="27" t="n">
        <v>7</v>
      </c>
      <c r="V21" s="27" t="n">
        <v>1</v>
      </c>
      <c r="W21" s="27" t="n">
        <v>1</v>
      </c>
      <c r="X21" s="27"/>
      <c r="Y21" s="28" t="n">
        <v>1</v>
      </c>
      <c r="Z21" s="13" t="n">
        <f aca="false">SUM(V21:Y21)</f>
        <v>3</v>
      </c>
      <c r="AA21" s="112" t="s">
        <v>11</v>
      </c>
      <c r="AB21" s="109" t="s">
        <v>119</v>
      </c>
      <c r="AC21" s="113" t="n">
        <v>4</v>
      </c>
      <c r="AD21" s="29" t="n">
        <v>20.9</v>
      </c>
      <c r="AE21" s="27" t="n">
        <v>2.07</v>
      </c>
      <c r="AF21" s="27"/>
      <c r="AG21" s="27" t="n">
        <v>10</v>
      </c>
      <c r="AH21" s="27" t="n">
        <v>2</v>
      </c>
      <c r="AI21" s="27"/>
      <c r="AJ21" s="27"/>
      <c r="AK21" s="27"/>
      <c r="AL21" s="28"/>
      <c r="AM21" s="13" t="n">
        <f aca="false">SUM(AI21:AL21)</f>
        <v>0</v>
      </c>
    </row>
    <row r="22" customFormat="false" ht="15" hidden="false" customHeight="false" outlineLevel="0" collapsed="false">
      <c r="A22" s="105" t="s">
        <v>8</v>
      </c>
      <c r="B22" s="106" t="s">
        <v>119</v>
      </c>
      <c r="C22" s="107" t="n">
        <v>5</v>
      </c>
      <c r="D22" s="12" t="n">
        <v>16.2</v>
      </c>
      <c r="E22" s="10" t="n">
        <v>1.01</v>
      </c>
      <c r="F22" s="10"/>
      <c r="G22" s="10" t="n">
        <v>10</v>
      </c>
      <c r="H22" s="10" t="n">
        <v>0</v>
      </c>
      <c r="I22" s="10"/>
      <c r="J22" s="10"/>
      <c r="K22" s="10"/>
      <c r="L22" s="11" t="n">
        <v>2</v>
      </c>
      <c r="M22" s="13" t="n">
        <f aca="false">SUM(I22:L22)</f>
        <v>2</v>
      </c>
      <c r="N22" s="105" t="s">
        <v>10</v>
      </c>
      <c r="O22" s="106" t="s">
        <v>119</v>
      </c>
      <c r="P22" s="107" t="n">
        <v>5</v>
      </c>
      <c r="Q22" s="12" t="n">
        <v>18.1</v>
      </c>
      <c r="R22" s="10" t="n">
        <v>1.47</v>
      </c>
      <c r="S22" s="10"/>
      <c r="T22" s="10" t="n">
        <v>7</v>
      </c>
      <c r="U22" s="10" t="n">
        <v>3</v>
      </c>
      <c r="V22" s="10" t="n">
        <v>1</v>
      </c>
      <c r="W22" s="10"/>
      <c r="X22" s="10"/>
      <c r="Y22" s="11" t="n">
        <v>1</v>
      </c>
      <c r="Z22" s="13" t="n">
        <f aca="false">SUM(V22:Y22)</f>
        <v>2</v>
      </c>
      <c r="AA22" s="105" t="s">
        <v>11</v>
      </c>
      <c r="AB22" s="109" t="s">
        <v>119</v>
      </c>
      <c r="AC22" s="107" t="n">
        <v>5</v>
      </c>
      <c r="AD22" s="12" t="n">
        <v>18.8</v>
      </c>
      <c r="AE22" s="10" t="n">
        <v>1.6</v>
      </c>
      <c r="AF22" s="10"/>
      <c r="AG22" s="10" t="n">
        <v>8</v>
      </c>
      <c r="AH22" s="10" t="n">
        <v>2</v>
      </c>
      <c r="AI22" s="10"/>
      <c r="AJ22" s="10"/>
      <c r="AK22" s="10"/>
      <c r="AL22" s="11" t="n">
        <v>2</v>
      </c>
      <c r="AM22" s="13" t="n">
        <f aca="false">SUM(AI22:AL22)</f>
        <v>2</v>
      </c>
    </row>
    <row r="23" customFormat="false" ht="15" hidden="false" customHeight="false" outlineLevel="0" collapsed="false">
      <c r="A23" s="110" t="s">
        <v>8</v>
      </c>
      <c r="B23" s="106" t="s">
        <v>119</v>
      </c>
      <c r="C23" s="111" t="n">
        <v>6</v>
      </c>
      <c r="D23" s="22" t="n">
        <v>16.9</v>
      </c>
      <c r="E23" s="20" t="n">
        <v>0.96</v>
      </c>
      <c r="F23" s="20"/>
      <c r="G23" s="20" t="n">
        <v>8</v>
      </c>
      <c r="H23" s="20" t="n">
        <v>2</v>
      </c>
      <c r="I23" s="20"/>
      <c r="J23" s="20"/>
      <c r="K23" s="20"/>
      <c r="L23" s="21" t="n">
        <v>2</v>
      </c>
      <c r="M23" s="13" t="n">
        <f aca="false">SUM(I23:L23)</f>
        <v>2</v>
      </c>
      <c r="N23" s="105" t="s">
        <v>10</v>
      </c>
      <c r="O23" s="106" t="s">
        <v>119</v>
      </c>
      <c r="P23" s="111" t="n">
        <v>6</v>
      </c>
      <c r="Q23" s="22" t="n">
        <v>18.1</v>
      </c>
      <c r="R23" s="20" t="n">
        <v>1.55</v>
      </c>
      <c r="S23" s="20"/>
      <c r="T23" s="20" t="n">
        <v>6</v>
      </c>
      <c r="U23" s="20" t="n">
        <v>6</v>
      </c>
      <c r="V23" s="20"/>
      <c r="W23" s="20"/>
      <c r="X23" s="20"/>
      <c r="Y23" s="21"/>
      <c r="Z23" s="13" t="n">
        <f aca="false">SUM(V23:Y23)</f>
        <v>0</v>
      </c>
      <c r="AA23" s="110" t="s">
        <v>11</v>
      </c>
      <c r="AB23" s="109" t="s">
        <v>119</v>
      </c>
      <c r="AC23" s="111" t="n">
        <v>6</v>
      </c>
      <c r="AD23" s="22" t="n">
        <v>18.5</v>
      </c>
      <c r="AE23" s="20" t="n">
        <v>1.6</v>
      </c>
      <c r="AF23" s="20"/>
      <c r="AG23" s="20" t="n">
        <v>11</v>
      </c>
      <c r="AH23" s="20" t="n">
        <v>1</v>
      </c>
      <c r="AI23" s="20"/>
      <c r="AJ23" s="20"/>
      <c r="AK23" s="20"/>
      <c r="AL23" s="21"/>
      <c r="AM23" s="13" t="n">
        <f aca="false">SUM(AI23:AL23)</f>
        <v>0</v>
      </c>
    </row>
    <row r="24" customFormat="false" ht="15" hidden="false" customHeight="false" outlineLevel="0" collapsed="false">
      <c r="A24" s="110" t="s">
        <v>8</v>
      </c>
      <c r="B24" s="106" t="s">
        <v>119</v>
      </c>
      <c r="C24" s="111" t="n">
        <v>7</v>
      </c>
      <c r="D24" s="22" t="n">
        <v>16</v>
      </c>
      <c r="E24" s="20" t="n">
        <v>0.88</v>
      </c>
      <c r="F24" s="20"/>
      <c r="G24" s="20" t="n">
        <v>10</v>
      </c>
      <c r="H24" s="20" t="n">
        <v>1</v>
      </c>
      <c r="I24" s="20"/>
      <c r="J24" s="20"/>
      <c r="K24" s="20"/>
      <c r="L24" s="21" t="n">
        <v>1</v>
      </c>
      <c r="M24" s="13" t="n">
        <f aca="false">SUM(I24:L24)</f>
        <v>1</v>
      </c>
      <c r="N24" s="105" t="s">
        <v>10</v>
      </c>
      <c r="O24" s="106" t="s">
        <v>119</v>
      </c>
      <c r="P24" s="111" t="n">
        <v>7</v>
      </c>
      <c r="Q24" s="22" t="n">
        <v>20.4</v>
      </c>
      <c r="R24" s="20" t="n">
        <v>1.57</v>
      </c>
      <c r="S24" s="20"/>
      <c r="T24" s="20" t="n">
        <v>8</v>
      </c>
      <c r="U24" s="20" t="n">
        <v>3</v>
      </c>
      <c r="V24" s="20"/>
      <c r="W24" s="20"/>
      <c r="X24" s="20"/>
      <c r="Y24" s="21" t="n">
        <v>1</v>
      </c>
      <c r="Z24" s="13" t="n">
        <f aca="false">SUM(V24:Y24)</f>
        <v>1</v>
      </c>
      <c r="AA24" s="110" t="s">
        <v>11</v>
      </c>
      <c r="AB24" s="109" t="s">
        <v>119</v>
      </c>
      <c r="AC24" s="111" t="n">
        <v>7</v>
      </c>
      <c r="AD24" s="22" t="n">
        <v>18.6</v>
      </c>
      <c r="AE24" s="20" t="n">
        <v>1.4</v>
      </c>
      <c r="AF24" s="20"/>
      <c r="AG24" s="20" t="n">
        <v>11</v>
      </c>
      <c r="AH24" s="20" t="n">
        <v>1</v>
      </c>
      <c r="AI24" s="20"/>
      <c r="AJ24" s="20"/>
      <c r="AK24" s="20"/>
      <c r="AL24" s="21"/>
      <c r="AM24" s="13" t="n">
        <f aca="false">SUM(AI24:AL24)</f>
        <v>0</v>
      </c>
    </row>
    <row r="25" customFormat="false" ht="15" hidden="false" customHeight="false" outlineLevel="0" collapsed="false">
      <c r="A25" s="110" t="s">
        <v>8</v>
      </c>
      <c r="B25" s="106" t="s">
        <v>119</v>
      </c>
      <c r="C25" s="113" t="n">
        <v>8</v>
      </c>
      <c r="D25" s="29" t="n">
        <v>16.2</v>
      </c>
      <c r="E25" s="27" t="n">
        <v>0.86</v>
      </c>
      <c r="F25" s="27"/>
      <c r="G25" s="27" t="n">
        <v>5</v>
      </c>
      <c r="H25" s="27" t="n">
        <v>4</v>
      </c>
      <c r="I25" s="27"/>
      <c r="J25" s="27" t="n">
        <v>1</v>
      </c>
      <c r="K25" s="27" t="n">
        <v>1</v>
      </c>
      <c r="L25" s="28" t="n">
        <v>1</v>
      </c>
      <c r="M25" s="13" t="n">
        <f aca="false">SUM(I25:L25)</f>
        <v>3</v>
      </c>
      <c r="N25" s="112" t="s">
        <v>10</v>
      </c>
      <c r="O25" s="106" t="s">
        <v>119</v>
      </c>
      <c r="P25" s="113" t="n">
        <v>8</v>
      </c>
      <c r="Q25" s="29" t="n">
        <v>19.5</v>
      </c>
      <c r="R25" s="27" t="n">
        <v>1.85</v>
      </c>
      <c r="S25" s="27"/>
      <c r="T25" s="27" t="n">
        <v>8</v>
      </c>
      <c r="U25" s="27" t="n">
        <v>4</v>
      </c>
      <c r="V25" s="27"/>
      <c r="W25" s="27"/>
      <c r="X25" s="27"/>
      <c r="Y25" s="28"/>
      <c r="Z25" s="13" t="n">
        <f aca="false">SUM(V25:Y25)</f>
        <v>0</v>
      </c>
      <c r="AA25" s="112" t="s">
        <v>11</v>
      </c>
      <c r="AB25" s="109" t="s">
        <v>119</v>
      </c>
      <c r="AC25" s="113" t="n">
        <v>8</v>
      </c>
      <c r="AD25" s="29" t="n">
        <v>18.3</v>
      </c>
      <c r="AE25" s="27" t="n">
        <v>1.73</v>
      </c>
      <c r="AF25" s="27"/>
      <c r="AG25" s="27" t="n">
        <v>9</v>
      </c>
      <c r="AH25" s="27" t="n">
        <v>3</v>
      </c>
      <c r="AI25" s="27"/>
      <c r="AJ25" s="27"/>
      <c r="AK25" s="27"/>
      <c r="AL25" s="28"/>
      <c r="AM25" s="13" t="n">
        <f aca="false">SUM(AI25:AL25)</f>
        <v>0</v>
      </c>
    </row>
    <row r="26" customFormat="false" ht="15" hidden="false" customHeight="false" outlineLevel="0" collapsed="false">
      <c r="A26" s="114" t="s">
        <v>8</v>
      </c>
      <c r="B26" s="115" t="s">
        <v>121</v>
      </c>
      <c r="C26" s="116" t="n">
        <v>1</v>
      </c>
      <c r="D26" s="39" t="n">
        <v>19</v>
      </c>
      <c r="E26" s="35" t="n">
        <v>1.56</v>
      </c>
      <c r="F26" s="35" t="s">
        <v>120</v>
      </c>
      <c r="G26" s="35" t="n">
        <v>1</v>
      </c>
      <c r="H26" s="35" t="n">
        <v>11</v>
      </c>
      <c r="I26" s="35"/>
      <c r="J26" s="35"/>
      <c r="K26" s="35"/>
      <c r="L26" s="36"/>
      <c r="M26" s="13" t="n">
        <f aca="false">SUM(I26:L26)</f>
        <v>0</v>
      </c>
      <c r="N26" s="132" t="s">
        <v>10</v>
      </c>
      <c r="O26" s="133" t="s">
        <v>121</v>
      </c>
      <c r="P26" s="116" t="n">
        <v>1</v>
      </c>
      <c r="Q26" s="66" t="n">
        <v>18.1</v>
      </c>
      <c r="R26" s="64" t="n">
        <v>1.65</v>
      </c>
      <c r="S26" s="64"/>
      <c r="T26" s="64" t="n">
        <v>9</v>
      </c>
      <c r="U26" s="64" t="n">
        <v>2</v>
      </c>
      <c r="V26" s="64"/>
      <c r="W26" s="64"/>
      <c r="X26" s="64"/>
      <c r="Y26" s="65" t="n">
        <v>1</v>
      </c>
      <c r="Z26" s="13" t="n">
        <f aca="false">SUM(V26:Y26)</f>
        <v>1</v>
      </c>
      <c r="AA26" s="117" t="s">
        <v>11</v>
      </c>
      <c r="AB26" s="118" t="s">
        <v>121</v>
      </c>
      <c r="AC26" s="116" t="n">
        <v>1</v>
      </c>
      <c r="AD26" s="43" t="n">
        <v>18.9</v>
      </c>
      <c r="AE26" s="41" t="n">
        <v>1.65</v>
      </c>
      <c r="AF26" s="41"/>
      <c r="AG26" s="41" t="n">
        <v>11</v>
      </c>
      <c r="AH26" s="41" t="n">
        <v>1</v>
      </c>
      <c r="AI26" s="41"/>
      <c r="AJ26" s="41"/>
      <c r="AK26" s="41"/>
      <c r="AL26" s="42"/>
      <c r="AM26" s="13" t="n">
        <f aca="false">SUM(AI26:AL26)</f>
        <v>0</v>
      </c>
    </row>
    <row r="27" customFormat="false" ht="15" hidden="false" customHeight="false" outlineLevel="0" collapsed="false">
      <c r="A27" s="119" t="s">
        <v>8</v>
      </c>
      <c r="B27" s="115" t="s">
        <v>121</v>
      </c>
      <c r="C27" s="120" t="n">
        <v>2</v>
      </c>
      <c r="D27" s="47" t="n">
        <v>19.6</v>
      </c>
      <c r="E27" s="45" t="n">
        <v>1.64</v>
      </c>
      <c r="F27" s="45"/>
      <c r="G27" s="45" t="n">
        <v>0</v>
      </c>
      <c r="H27" s="45" t="n">
        <v>12</v>
      </c>
      <c r="I27" s="45"/>
      <c r="J27" s="45"/>
      <c r="K27" s="45"/>
      <c r="L27" s="46"/>
      <c r="M27" s="13" t="n">
        <f aca="false">SUM(I27:L27)</f>
        <v>0</v>
      </c>
      <c r="N27" s="134" t="s">
        <v>10</v>
      </c>
      <c r="O27" s="133" t="s">
        <v>121</v>
      </c>
      <c r="P27" s="120" t="n">
        <v>2</v>
      </c>
      <c r="Q27" s="70" t="n">
        <v>17.4</v>
      </c>
      <c r="R27" s="68" t="n">
        <v>1.3</v>
      </c>
      <c r="S27" s="68"/>
      <c r="T27" s="68" t="n">
        <v>9</v>
      </c>
      <c r="U27" s="68" t="n">
        <v>3</v>
      </c>
      <c r="V27" s="68"/>
      <c r="W27" s="68"/>
      <c r="X27" s="68"/>
      <c r="Y27" s="69"/>
      <c r="Z27" s="13" t="n">
        <f aca="false">SUM(V27:Y27)</f>
        <v>0</v>
      </c>
      <c r="AA27" s="119" t="s">
        <v>11</v>
      </c>
      <c r="AB27" s="118" t="s">
        <v>121</v>
      </c>
      <c r="AC27" s="120" t="n">
        <v>2</v>
      </c>
      <c r="AD27" s="47" t="n">
        <v>17</v>
      </c>
      <c r="AE27" s="45" t="n">
        <v>1.52</v>
      </c>
      <c r="AF27" s="45"/>
      <c r="AG27" s="45" t="n">
        <v>7</v>
      </c>
      <c r="AH27" s="45" t="n">
        <v>3</v>
      </c>
      <c r="AI27" s="45"/>
      <c r="AJ27" s="45"/>
      <c r="AK27" s="45"/>
      <c r="AL27" s="46" t="n">
        <v>2</v>
      </c>
      <c r="AM27" s="13" t="n">
        <f aca="false">SUM(AI27:AL27)</f>
        <v>2</v>
      </c>
    </row>
    <row r="28" customFormat="false" ht="15" hidden="false" customHeight="false" outlineLevel="0" collapsed="false">
      <c r="A28" s="119" t="s">
        <v>8</v>
      </c>
      <c r="B28" s="115" t="s">
        <v>121</v>
      </c>
      <c r="C28" s="120" t="n">
        <v>3</v>
      </c>
      <c r="D28" s="47" t="n">
        <v>17.1</v>
      </c>
      <c r="E28" s="45" t="n">
        <v>1.37</v>
      </c>
      <c r="F28" s="45"/>
      <c r="G28" s="45" t="n">
        <v>12</v>
      </c>
      <c r="H28" s="45" t="n">
        <v>0</v>
      </c>
      <c r="I28" s="45"/>
      <c r="J28" s="45"/>
      <c r="K28" s="45"/>
      <c r="L28" s="46"/>
      <c r="M28" s="13" t="n">
        <f aca="false">SUM(I28:L28)</f>
        <v>0</v>
      </c>
      <c r="N28" s="134" t="s">
        <v>10</v>
      </c>
      <c r="O28" s="133" t="s">
        <v>121</v>
      </c>
      <c r="P28" s="120" t="n">
        <v>3</v>
      </c>
      <c r="Q28" s="70" t="n">
        <v>18.4</v>
      </c>
      <c r="R28" s="68" t="n">
        <v>1.4</v>
      </c>
      <c r="S28" s="68" t="s">
        <v>120</v>
      </c>
      <c r="T28" s="68" t="n">
        <v>10</v>
      </c>
      <c r="U28" s="68" t="n">
        <v>0</v>
      </c>
      <c r="V28" s="68"/>
      <c r="W28" s="68"/>
      <c r="X28" s="68"/>
      <c r="Y28" s="69" t="n">
        <v>2</v>
      </c>
      <c r="Z28" s="13" t="n">
        <f aca="false">SUM(V28:Y28)</f>
        <v>2</v>
      </c>
      <c r="AA28" s="119" t="s">
        <v>11</v>
      </c>
      <c r="AB28" s="118" t="s">
        <v>121</v>
      </c>
      <c r="AC28" s="120" t="n">
        <v>3</v>
      </c>
      <c r="AD28" s="47" t="n">
        <v>18.2</v>
      </c>
      <c r="AE28" s="45" t="n">
        <v>1.53</v>
      </c>
      <c r="AF28" s="45" t="s">
        <v>122</v>
      </c>
      <c r="AG28" s="45" t="n">
        <v>8</v>
      </c>
      <c r="AH28" s="45" t="n">
        <v>4</v>
      </c>
      <c r="AI28" s="45"/>
      <c r="AJ28" s="45"/>
      <c r="AK28" s="45"/>
      <c r="AL28" s="46"/>
      <c r="AM28" s="13" t="n">
        <f aca="false">SUM(AI28:AL28)</f>
        <v>0</v>
      </c>
    </row>
    <row r="29" customFormat="false" ht="15" hidden="false" customHeight="false" outlineLevel="0" collapsed="false">
      <c r="A29" s="128" t="s">
        <v>8</v>
      </c>
      <c r="B29" s="129" t="s">
        <v>121</v>
      </c>
      <c r="C29" s="130" t="n">
        <v>4</v>
      </c>
      <c r="D29" s="58" t="n">
        <v>17</v>
      </c>
      <c r="E29" s="56" t="n">
        <v>1.54</v>
      </c>
      <c r="F29" s="56"/>
      <c r="G29" s="56" t="n">
        <v>2</v>
      </c>
      <c r="H29" s="56" t="n">
        <v>10</v>
      </c>
      <c r="I29" s="56"/>
      <c r="J29" s="56"/>
      <c r="K29" s="56"/>
      <c r="L29" s="57"/>
      <c r="M29" s="13" t="n">
        <f aca="false">SUM(I29:L29)</f>
        <v>0</v>
      </c>
      <c r="N29" s="135" t="s">
        <v>10</v>
      </c>
      <c r="O29" s="136" t="s">
        <v>121</v>
      </c>
      <c r="P29" s="130" t="n">
        <v>4</v>
      </c>
      <c r="Q29" s="74" t="n">
        <v>17.3</v>
      </c>
      <c r="R29" s="72" t="n">
        <v>1.28</v>
      </c>
      <c r="S29" s="72" t="s">
        <v>122</v>
      </c>
      <c r="T29" s="72" t="n">
        <v>10</v>
      </c>
      <c r="U29" s="72" t="n">
        <v>2</v>
      </c>
      <c r="V29" s="72"/>
      <c r="W29" s="72"/>
      <c r="X29" s="72"/>
      <c r="Y29" s="73"/>
      <c r="Z29" s="13" t="n">
        <f aca="false">SUM(V29:Y29)</f>
        <v>0</v>
      </c>
      <c r="AA29" s="128" t="s">
        <v>11</v>
      </c>
      <c r="AB29" s="131" t="s">
        <v>121</v>
      </c>
      <c r="AC29" s="130" t="n">
        <v>4</v>
      </c>
      <c r="AD29" s="58" t="n">
        <v>17.8</v>
      </c>
      <c r="AE29" s="56" t="n">
        <v>1.29</v>
      </c>
      <c r="AF29" s="56"/>
      <c r="AG29" s="56" t="n">
        <v>11</v>
      </c>
      <c r="AH29" s="56" t="n">
        <v>1</v>
      </c>
      <c r="AI29" s="56"/>
      <c r="AJ29" s="56"/>
      <c r="AK29" s="56"/>
      <c r="AL29" s="57"/>
      <c r="AM29" s="13" t="n">
        <f aca="false">SUM(AI29:AL29)</f>
        <v>0</v>
      </c>
    </row>
    <row r="30" customFormat="false" ht="15" hidden="false" customHeight="false" outlineLevel="0" collapsed="false">
      <c r="A30" s="117" t="s">
        <v>8</v>
      </c>
      <c r="B30" s="118" t="s">
        <v>121</v>
      </c>
      <c r="C30" s="116" t="n">
        <v>5</v>
      </c>
      <c r="D30" s="43" t="n">
        <v>16.6</v>
      </c>
      <c r="E30" s="41" t="n">
        <v>1.07</v>
      </c>
      <c r="F30" s="41"/>
      <c r="G30" s="41" t="n">
        <v>4</v>
      </c>
      <c r="H30" s="41" t="n">
        <v>7</v>
      </c>
      <c r="I30" s="41" t="n">
        <v>1</v>
      </c>
      <c r="J30" s="41"/>
      <c r="K30" s="41"/>
      <c r="L30" s="42"/>
      <c r="M30" s="13" t="n">
        <f aca="false">SUM(I30:L30)</f>
        <v>1</v>
      </c>
      <c r="N30" s="134" t="s">
        <v>10</v>
      </c>
      <c r="O30" s="137" t="s">
        <v>121</v>
      </c>
      <c r="P30" s="116" t="n">
        <v>5</v>
      </c>
      <c r="Q30" s="138" t="n">
        <v>19.5</v>
      </c>
      <c r="R30" s="139" t="n">
        <v>1.92</v>
      </c>
      <c r="S30" s="139"/>
      <c r="T30" s="139" t="n">
        <v>6</v>
      </c>
      <c r="U30" s="139" t="n">
        <v>5</v>
      </c>
      <c r="V30" s="139" t="n">
        <v>1</v>
      </c>
      <c r="W30" s="139"/>
      <c r="X30" s="139"/>
      <c r="Y30" s="140"/>
      <c r="Z30" s="13" t="n">
        <f aca="false">SUM(V30:Y30)</f>
        <v>1</v>
      </c>
      <c r="AA30" s="117" t="s">
        <v>11</v>
      </c>
      <c r="AB30" s="118" t="s">
        <v>121</v>
      </c>
      <c r="AC30" s="116" t="n">
        <v>5</v>
      </c>
      <c r="AD30" s="43" t="n">
        <v>18.1</v>
      </c>
      <c r="AE30" s="41" t="n">
        <v>1.63</v>
      </c>
      <c r="AF30" s="41"/>
      <c r="AG30" s="41" t="n">
        <v>11</v>
      </c>
      <c r="AH30" s="41" t="n">
        <v>0</v>
      </c>
      <c r="AI30" s="41"/>
      <c r="AJ30" s="41"/>
      <c r="AK30" s="41"/>
      <c r="AL30" s="42" t="n">
        <v>1</v>
      </c>
      <c r="AM30" s="13" t="n">
        <f aca="false">SUM(AI30:AL30)</f>
        <v>1</v>
      </c>
    </row>
    <row r="31" customFormat="false" ht="15" hidden="false" customHeight="false" outlineLevel="0" collapsed="false">
      <c r="A31" s="119" t="s">
        <v>8</v>
      </c>
      <c r="B31" s="115" t="s">
        <v>121</v>
      </c>
      <c r="C31" s="120" t="n">
        <v>6</v>
      </c>
      <c r="D31" s="47" t="n">
        <v>18.4</v>
      </c>
      <c r="E31" s="45" t="n">
        <v>1.57</v>
      </c>
      <c r="F31" s="45"/>
      <c r="G31" s="45" t="n">
        <v>4</v>
      </c>
      <c r="H31" s="45" t="n">
        <v>8</v>
      </c>
      <c r="I31" s="45"/>
      <c r="J31" s="45"/>
      <c r="K31" s="45"/>
      <c r="L31" s="46"/>
      <c r="M31" s="13" t="n">
        <f aca="false">SUM(I31:L31)</f>
        <v>0</v>
      </c>
      <c r="N31" s="134" t="s">
        <v>10</v>
      </c>
      <c r="O31" s="133" t="s">
        <v>121</v>
      </c>
      <c r="P31" s="120" t="n">
        <v>6</v>
      </c>
      <c r="Q31" s="70" t="n">
        <v>19.9</v>
      </c>
      <c r="R31" s="68" t="n">
        <v>1.58</v>
      </c>
      <c r="S31" s="68"/>
      <c r="T31" s="68" t="n">
        <v>8</v>
      </c>
      <c r="U31" s="68" t="n">
        <v>2</v>
      </c>
      <c r="V31" s="68"/>
      <c r="W31" s="68"/>
      <c r="X31" s="68" t="n">
        <v>1</v>
      </c>
      <c r="Y31" s="69" t="n">
        <v>1</v>
      </c>
      <c r="Z31" s="13" t="n">
        <f aca="false">SUM(V31:Y31)</f>
        <v>2</v>
      </c>
      <c r="AA31" s="119" t="s">
        <v>11</v>
      </c>
      <c r="AB31" s="118" t="s">
        <v>121</v>
      </c>
      <c r="AC31" s="120" t="n">
        <v>6</v>
      </c>
      <c r="AD31" s="47" t="n">
        <v>19.2</v>
      </c>
      <c r="AE31" s="45" t="n">
        <v>1.94</v>
      </c>
      <c r="AF31" s="45"/>
      <c r="AG31" s="45" t="n">
        <v>11</v>
      </c>
      <c r="AH31" s="45" t="n">
        <v>0</v>
      </c>
      <c r="AI31" s="45"/>
      <c r="AJ31" s="45"/>
      <c r="AK31" s="45"/>
      <c r="AL31" s="46" t="n">
        <v>1</v>
      </c>
      <c r="AM31" s="13" t="n">
        <f aca="false">SUM(AI31:AL31)</f>
        <v>1</v>
      </c>
    </row>
    <row r="32" customFormat="false" ht="15" hidden="false" customHeight="false" outlineLevel="0" collapsed="false">
      <c r="A32" s="119" t="s">
        <v>8</v>
      </c>
      <c r="B32" s="115" t="s">
        <v>121</v>
      </c>
      <c r="C32" s="120" t="n">
        <v>7</v>
      </c>
      <c r="D32" s="47" t="n">
        <v>17.8</v>
      </c>
      <c r="E32" s="45" t="n">
        <v>1.11</v>
      </c>
      <c r="F32" s="45"/>
      <c r="G32" s="45" t="n">
        <v>4</v>
      </c>
      <c r="H32" s="45" t="n">
        <v>8</v>
      </c>
      <c r="I32" s="45"/>
      <c r="J32" s="45"/>
      <c r="K32" s="45"/>
      <c r="L32" s="46"/>
      <c r="M32" s="13" t="n">
        <f aca="false">SUM(I32:L32)</f>
        <v>0</v>
      </c>
      <c r="N32" s="134" t="s">
        <v>10</v>
      </c>
      <c r="O32" s="133" t="s">
        <v>121</v>
      </c>
      <c r="P32" s="120" t="n">
        <v>7</v>
      </c>
      <c r="Q32" s="70" t="n">
        <v>19.6</v>
      </c>
      <c r="R32" s="68" t="n">
        <v>1.62</v>
      </c>
      <c r="S32" s="68"/>
      <c r="T32" s="68" t="n">
        <v>6</v>
      </c>
      <c r="U32" s="68" t="n">
        <v>6</v>
      </c>
      <c r="V32" s="68"/>
      <c r="W32" s="68"/>
      <c r="X32" s="68"/>
      <c r="Y32" s="69"/>
      <c r="Z32" s="13" t="n">
        <f aca="false">SUM(V32:Y32)</f>
        <v>0</v>
      </c>
      <c r="AA32" s="119" t="s">
        <v>11</v>
      </c>
      <c r="AB32" s="118" t="s">
        <v>121</v>
      </c>
      <c r="AC32" s="120" t="n">
        <v>7</v>
      </c>
      <c r="AD32" s="47" t="n">
        <v>19.3</v>
      </c>
      <c r="AE32" s="45" t="n">
        <v>2.16</v>
      </c>
      <c r="AF32" s="45"/>
      <c r="AG32" s="45" t="n">
        <v>11</v>
      </c>
      <c r="AH32" s="45" t="n">
        <v>0</v>
      </c>
      <c r="AI32" s="45"/>
      <c r="AJ32" s="45"/>
      <c r="AK32" s="45"/>
      <c r="AL32" s="46" t="n">
        <v>1</v>
      </c>
      <c r="AM32" s="13" t="n">
        <f aca="false">SUM(AI32:AL32)</f>
        <v>1</v>
      </c>
    </row>
    <row r="33" customFormat="false" ht="15" hidden="false" customHeight="false" outlineLevel="0" collapsed="false">
      <c r="A33" s="128" t="s">
        <v>8</v>
      </c>
      <c r="B33" s="129" t="s">
        <v>121</v>
      </c>
      <c r="C33" s="130" t="n">
        <v>8</v>
      </c>
      <c r="D33" s="58" t="n">
        <v>16.8</v>
      </c>
      <c r="E33" s="56" t="n">
        <v>0.94</v>
      </c>
      <c r="F33" s="56"/>
      <c r="G33" s="56" t="n">
        <v>6</v>
      </c>
      <c r="H33" s="56" t="n">
        <v>5</v>
      </c>
      <c r="I33" s="56"/>
      <c r="J33" s="56"/>
      <c r="K33" s="56"/>
      <c r="L33" s="57" t="n">
        <v>1</v>
      </c>
      <c r="M33" s="13" t="n">
        <f aca="false">SUM(I33:L33)</f>
        <v>1</v>
      </c>
      <c r="N33" s="135" t="s">
        <v>10</v>
      </c>
      <c r="O33" s="136" t="s">
        <v>121</v>
      </c>
      <c r="P33" s="130" t="n">
        <v>8</v>
      </c>
      <c r="Q33" s="74" t="n">
        <v>18.9</v>
      </c>
      <c r="R33" s="72" t="n">
        <v>1.43</v>
      </c>
      <c r="S33" s="72"/>
      <c r="T33" s="72" t="n">
        <v>7</v>
      </c>
      <c r="U33" s="72" t="n">
        <v>5</v>
      </c>
      <c r="V33" s="72"/>
      <c r="W33" s="72"/>
      <c r="X33" s="72"/>
      <c r="Y33" s="73"/>
      <c r="Z33" s="13" t="n">
        <f aca="false">SUM(V33:Y33)</f>
        <v>0</v>
      </c>
      <c r="AA33" s="128" t="s">
        <v>11</v>
      </c>
      <c r="AB33" s="131" t="s">
        <v>121</v>
      </c>
      <c r="AC33" s="130" t="n">
        <v>8</v>
      </c>
      <c r="AD33" s="58" t="n">
        <v>20</v>
      </c>
      <c r="AE33" s="56" t="n">
        <v>2.07</v>
      </c>
      <c r="AF33" s="56"/>
      <c r="AG33" s="56" t="n">
        <v>4</v>
      </c>
      <c r="AH33" s="56" t="n">
        <v>8</v>
      </c>
      <c r="AI33" s="56"/>
      <c r="AJ33" s="56"/>
      <c r="AK33" s="56"/>
      <c r="AL33" s="57"/>
      <c r="AM33" s="13" t="n">
        <f aca="false">SUM(AI33:AL33)</f>
        <v>0</v>
      </c>
    </row>
    <row r="34" s="143" customFormat="true" ht="36" hidden="false" customHeight="true" outlineLevel="0" collapsed="false">
      <c r="A34" s="141" t="s">
        <v>123</v>
      </c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2"/>
      <c r="N34" s="141" t="s">
        <v>123</v>
      </c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2"/>
      <c r="AA34" s="141" t="s">
        <v>123</v>
      </c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</row>
    <row r="35" customFormat="false" ht="15" hidden="false" customHeight="false" outlineLevel="0" collapsed="false">
      <c r="A35" s="90" t="s">
        <v>19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88"/>
      <c r="N35" s="90" t="s">
        <v>19</v>
      </c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88"/>
      <c r="AA35" s="90" t="s">
        <v>19</v>
      </c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</row>
    <row r="36" customFormat="false" ht="15" hidden="false" customHeight="false" outlineLevel="0" collapsed="false">
      <c r="A36" s="90" t="s">
        <v>20</v>
      </c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88"/>
      <c r="N36" s="90" t="s">
        <v>20</v>
      </c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88"/>
      <c r="AA36" s="90" t="s">
        <v>20</v>
      </c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</row>
    <row r="37" customFormat="false" ht="15" hidden="false" customHeight="false" outlineLevel="0" collapsed="false">
      <c r="A37" s="90" t="s">
        <v>21</v>
      </c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88"/>
      <c r="N37" s="90" t="s">
        <v>21</v>
      </c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88"/>
      <c r="AA37" s="90" t="s">
        <v>21</v>
      </c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</row>
    <row r="38" customFormat="false" ht="15" hidden="false" customHeight="false" outlineLevel="0" collapsed="false">
      <c r="A38" s="90" t="s">
        <v>22</v>
      </c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2"/>
      <c r="N38" s="90" t="s">
        <v>22</v>
      </c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2"/>
      <c r="AA38" s="90" t="s">
        <v>22</v>
      </c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</row>
    <row r="39" customFormat="false" ht="15" hidden="false" customHeight="false" outlineLevel="0" collapsed="false">
      <c r="A39" s="90" t="s">
        <v>23</v>
      </c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2"/>
      <c r="N39" s="90" t="s">
        <v>23</v>
      </c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2"/>
      <c r="AA39" s="90" t="s">
        <v>23</v>
      </c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</row>
    <row r="40" customFormat="false" ht="15" hidden="false" customHeight="false" outlineLevel="0" collapsed="false">
      <c r="A40" s="144"/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2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2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</row>
    <row r="1048576" customFormat="false" ht="12.8" hidden="false" customHeight="false" outlineLevel="0" collapsed="false"/>
  </sheetData>
  <mergeCells count="20">
    <mergeCell ref="A34:L34"/>
    <mergeCell ref="N34:Y34"/>
    <mergeCell ref="AA34:AL34"/>
    <mergeCell ref="A35:L35"/>
    <mergeCell ref="N35:Y35"/>
    <mergeCell ref="AA35:AL35"/>
    <mergeCell ref="A36:L36"/>
    <mergeCell ref="N36:Y36"/>
    <mergeCell ref="AA36:AL36"/>
    <mergeCell ref="A37:L37"/>
    <mergeCell ref="N37:Y37"/>
    <mergeCell ref="AA37:AL37"/>
    <mergeCell ref="A38:L38"/>
    <mergeCell ref="N38:Y38"/>
    <mergeCell ref="AA38:AL38"/>
    <mergeCell ref="A39:L39"/>
    <mergeCell ref="N39:Y39"/>
    <mergeCell ref="AA39:AL39"/>
    <mergeCell ref="N40:Y40"/>
    <mergeCell ref="AA40:AL40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1" sqref="A2:C2 B9"/>
    </sheetView>
  </sheetViews>
  <sheetFormatPr defaultColWidth="8.859375" defaultRowHeight="15" zeroHeight="false" outlineLevelRow="0" outlineLevelCol="0"/>
  <cols>
    <col collapsed="false" customWidth="true" hidden="false" outlineLevel="0" max="1" min="1" style="97" width="18.43"/>
    <col collapsed="false" customWidth="true" hidden="false" outlineLevel="0" max="2" min="2" style="97" width="19"/>
    <col collapsed="false" customWidth="true" hidden="false" outlineLevel="0" max="6" min="6" style="97" width="15.15"/>
  </cols>
  <sheetData>
    <row r="1" customFormat="false" ht="15" hidden="false" customHeight="false" outlineLevel="0" collapsed="false">
      <c r="A1" s="97" t="s">
        <v>124</v>
      </c>
      <c r="B1" s="97" t="s">
        <v>125</v>
      </c>
    </row>
    <row r="2" customFormat="false" ht="15" hidden="false" customHeight="true" outlineLevel="0" collapsed="false">
      <c r="A2" s="145" t="n">
        <v>44741</v>
      </c>
      <c r="B2" s="97" t="n">
        <v>21.9062004089355</v>
      </c>
      <c r="D2" s="141" t="s">
        <v>123</v>
      </c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</row>
    <row r="3" customFormat="false" ht="15" hidden="false" customHeight="false" outlineLevel="0" collapsed="false">
      <c r="A3" s="146" t="n">
        <v>44741.0416666667</v>
      </c>
      <c r="B3" s="97" t="n">
        <v>21.9608993530273</v>
      </c>
      <c r="F3" s="146"/>
    </row>
    <row r="4" customFormat="false" ht="15" hidden="false" customHeight="false" outlineLevel="0" collapsed="false">
      <c r="A4" s="146" t="n">
        <v>44741.0833333333</v>
      </c>
      <c r="B4" s="97" t="n">
        <v>21.9922008514404</v>
      </c>
      <c r="F4" s="146"/>
    </row>
    <row r="5" customFormat="false" ht="15" hidden="false" customHeight="false" outlineLevel="0" collapsed="false">
      <c r="A5" s="146" t="n">
        <v>44741.125</v>
      </c>
      <c r="B5" s="97" t="n">
        <v>21.9922008514404</v>
      </c>
      <c r="F5" s="146"/>
    </row>
    <row r="6" customFormat="false" ht="15" hidden="false" customHeight="false" outlineLevel="0" collapsed="false">
      <c r="A6" s="146" t="n">
        <v>44741.1666666667</v>
      </c>
      <c r="B6" s="97" t="n">
        <v>22.0233993530273</v>
      </c>
      <c r="F6" s="146"/>
    </row>
    <row r="7" customFormat="false" ht="15" hidden="false" customHeight="false" outlineLevel="0" collapsed="false">
      <c r="A7" s="146" t="n">
        <v>44741.2083333333</v>
      </c>
      <c r="B7" s="97" t="n">
        <v>22.0547008514404</v>
      </c>
      <c r="F7" s="146"/>
    </row>
    <row r="8" customFormat="false" ht="15" hidden="false" customHeight="false" outlineLevel="0" collapsed="false">
      <c r="A8" s="146" t="n">
        <v>44741.25</v>
      </c>
      <c r="B8" s="97" t="n">
        <v>22.1016006469727</v>
      </c>
      <c r="F8" s="146"/>
    </row>
    <row r="9" customFormat="false" ht="15" hidden="false" customHeight="false" outlineLevel="0" collapsed="false">
      <c r="A9" s="146" t="n">
        <v>44741.2916666667</v>
      </c>
      <c r="B9" s="97" t="n">
        <v>21.9608993530273</v>
      </c>
      <c r="F9" s="146"/>
    </row>
    <row r="10" customFormat="false" ht="15" hidden="false" customHeight="false" outlineLevel="0" collapsed="false">
      <c r="A10" s="146" t="n">
        <v>44741.3333333333</v>
      </c>
      <c r="B10" s="97" t="n">
        <v>21.2812004089355</v>
      </c>
      <c r="F10" s="146"/>
    </row>
    <row r="11" customFormat="false" ht="15" hidden="false" customHeight="false" outlineLevel="0" collapsed="false">
      <c r="A11" s="146" t="n">
        <v>44741.375</v>
      </c>
      <c r="B11" s="97" t="n">
        <v>20.5547008514404</v>
      </c>
      <c r="F11" s="146"/>
    </row>
    <row r="12" customFormat="false" ht="15" hidden="false" customHeight="false" outlineLevel="0" collapsed="false">
      <c r="A12" s="146" t="n">
        <v>44741.4166666667</v>
      </c>
      <c r="B12" s="97" t="n">
        <v>20.0233993530273</v>
      </c>
      <c r="F12" s="146"/>
    </row>
    <row r="13" customFormat="false" ht="15" hidden="false" customHeight="false" outlineLevel="0" collapsed="false">
      <c r="A13" s="146" t="n">
        <v>44741.4583333333</v>
      </c>
      <c r="B13" s="97" t="n">
        <v>20.2812004089355</v>
      </c>
      <c r="F13" s="146"/>
    </row>
    <row r="14" customFormat="false" ht="15" hidden="false" customHeight="false" outlineLevel="0" collapsed="false">
      <c r="A14" s="146" t="n">
        <v>44741.5</v>
      </c>
      <c r="B14" s="97" t="n">
        <v>20.0702991485596</v>
      </c>
      <c r="F14" s="146"/>
    </row>
    <row r="15" customFormat="false" ht="15" hidden="false" customHeight="false" outlineLevel="0" collapsed="false">
      <c r="A15" s="146" t="n">
        <v>44741.5416666667</v>
      </c>
      <c r="B15" s="97" t="n">
        <v>20.1327991485596</v>
      </c>
      <c r="F15" s="146"/>
    </row>
    <row r="16" customFormat="false" ht="15" hidden="false" customHeight="false" outlineLevel="0" collapsed="false">
      <c r="A16" s="146" t="n">
        <v>44741.5833333333</v>
      </c>
      <c r="B16" s="97" t="n">
        <v>20.5547008514404</v>
      </c>
      <c r="F16" s="146"/>
    </row>
    <row r="17" customFormat="false" ht="15" hidden="false" customHeight="false" outlineLevel="0" collapsed="false">
      <c r="A17" s="146" t="n">
        <v>44741.625</v>
      </c>
      <c r="B17" s="97" t="n">
        <v>20.875</v>
      </c>
      <c r="F17" s="146"/>
    </row>
    <row r="18" customFormat="false" ht="15" hidden="false" customHeight="false" outlineLevel="0" collapsed="false">
      <c r="A18" s="146" t="n">
        <v>44741.6666666667</v>
      </c>
      <c r="B18" s="97" t="n">
        <v>21.125</v>
      </c>
      <c r="F18" s="146"/>
    </row>
    <row r="19" customFormat="false" ht="15" hidden="false" customHeight="false" outlineLevel="0" collapsed="false">
      <c r="A19" s="146" t="n">
        <v>44741.7083333333</v>
      </c>
      <c r="B19" s="97" t="n">
        <v>21.2812004089355</v>
      </c>
      <c r="F19" s="146"/>
    </row>
    <row r="20" customFormat="false" ht="15" hidden="false" customHeight="false" outlineLevel="0" collapsed="false">
      <c r="A20" s="146" t="n">
        <v>44741.75</v>
      </c>
      <c r="B20" s="97" t="n">
        <v>21.4218997955322</v>
      </c>
      <c r="F20" s="146"/>
    </row>
    <row r="21" customFormat="false" ht="15" hidden="false" customHeight="false" outlineLevel="0" collapsed="false">
      <c r="A21" s="146" t="n">
        <v>44741.7916666667</v>
      </c>
      <c r="B21" s="97" t="n">
        <v>21.4608993530273</v>
      </c>
      <c r="F21" s="146"/>
    </row>
    <row r="22" customFormat="false" ht="15" hidden="false" customHeight="false" outlineLevel="0" collapsed="false">
      <c r="A22" s="146" t="n">
        <v>44741.8333333333</v>
      </c>
      <c r="B22" s="97" t="n">
        <v>21.5312004089355</v>
      </c>
      <c r="F22" s="146"/>
    </row>
    <row r="23" customFormat="false" ht="15" hidden="false" customHeight="false" outlineLevel="0" collapsed="false">
      <c r="A23" s="146" t="n">
        <v>44741.875</v>
      </c>
      <c r="B23" s="97" t="n">
        <v>21.6483993530273</v>
      </c>
      <c r="F23" s="146"/>
    </row>
    <row r="24" customFormat="false" ht="15" hidden="false" customHeight="false" outlineLevel="0" collapsed="false">
      <c r="A24" s="146" t="n">
        <v>44741.9166666667</v>
      </c>
      <c r="B24" s="97" t="n">
        <v>21.6406002044678</v>
      </c>
      <c r="F24" s="146"/>
    </row>
    <row r="25" customFormat="false" ht="15" hidden="false" customHeight="false" outlineLevel="0" collapsed="false">
      <c r="A25" s="146" t="n">
        <v>44741.9583333333</v>
      </c>
      <c r="B25" s="97" t="n">
        <v>21.6797008514404</v>
      </c>
      <c r="F25" s="146"/>
    </row>
    <row r="26" customFormat="false" ht="15" hidden="false" customHeight="false" outlineLevel="0" collapsed="false">
      <c r="A26" s="145" t="n">
        <v>44743</v>
      </c>
      <c r="B26" s="97" t="n">
        <v>21.75</v>
      </c>
      <c r="F26" s="147"/>
    </row>
    <row r="27" customFormat="false" ht="15" hidden="false" customHeight="false" outlineLevel="0" collapsed="false">
      <c r="A27" s="146" t="n">
        <v>44743.0416666667</v>
      </c>
      <c r="B27" s="97" t="n">
        <v>21.7733993530273</v>
      </c>
      <c r="F27" s="146"/>
    </row>
    <row r="28" customFormat="false" ht="15" hidden="false" customHeight="false" outlineLevel="0" collapsed="false">
      <c r="A28" s="146" t="n">
        <v>44743.0833333333</v>
      </c>
      <c r="B28" s="97" t="n">
        <v>21.8827991485596</v>
      </c>
      <c r="F28" s="146"/>
    </row>
    <row r="29" customFormat="false" ht="15" hidden="false" customHeight="false" outlineLevel="0" collapsed="false">
      <c r="A29" s="146" t="n">
        <v>44743.125</v>
      </c>
      <c r="B29" s="97" t="n">
        <v>21.9766006469727</v>
      </c>
      <c r="F29" s="146"/>
    </row>
    <row r="30" customFormat="false" ht="15" hidden="false" customHeight="false" outlineLevel="0" collapsed="false">
      <c r="A30" s="146" t="n">
        <v>44743.1666666667</v>
      </c>
      <c r="B30" s="97" t="n">
        <v>22.0937995910645</v>
      </c>
      <c r="F30" s="146"/>
    </row>
    <row r="31" customFormat="false" ht="15" hidden="false" customHeight="false" outlineLevel="0" collapsed="false">
      <c r="A31" s="146" t="n">
        <v>44743.2083333333</v>
      </c>
      <c r="B31" s="97" t="n">
        <v>21.6875</v>
      </c>
      <c r="F31" s="146"/>
    </row>
    <row r="32" customFormat="false" ht="15" hidden="false" customHeight="false" outlineLevel="0" collapsed="false">
      <c r="A32" s="146" t="n">
        <v>44743.25</v>
      </c>
      <c r="B32" s="97" t="n">
        <v>21.7187995910645</v>
      </c>
      <c r="F32" s="146"/>
    </row>
    <row r="33" customFormat="false" ht="15" hidden="false" customHeight="false" outlineLevel="0" collapsed="false">
      <c r="A33" s="146" t="n">
        <v>44743.2916666667</v>
      </c>
      <c r="B33" s="97" t="n">
        <v>21.875</v>
      </c>
      <c r="F33" s="146"/>
    </row>
    <row r="34" customFormat="false" ht="15" hidden="false" customHeight="false" outlineLevel="0" collapsed="false">
      <c r="A34" s="146" t="n">
        <v>44743.3333333333</v>
      </c>
      <c r="B34" s="97" t="n">
        <v>21.7266006469727</v>
      </c>
      <c r="F34" s="146"/>
    </row>
    <row r="35" customFormat="false" ht="15" hidden="false" customHeight="false" outlineLevel="0" collapsed="false">
      <c r="A35" s="146" t="n">
        <v>44743.375</v>
      </c>
      <c r="B35" s="97" t="n">
        <v>21.9531002044678</v>
      </c>
      <c r="F35" s="146"/>
    </row>
    <row r="36" customFormat="false" ht="15" hidden="false" customHeight="false" outlineLevel="0" collapsed="false">
      <c r="A36" s="146" t="n">
        <v>44743.4166666667</v>
      </c>
      <c r="B36" s="97" t="n">
        <v>21.4452991485596</v>
      </c>
      <c r="F36" s="146"/>
    </row>
    <row r="37" customFormat="false" ht="15" hidden="false" customHeight="false" outlineLevel="0" collapsed="false">
      <c r="A37" s="146" t="n">
        <v>44743.4583333333</v>
      </c>
      <c r="B37" s="97" t="n">
        <v>21.5858993530273</v>
      </c>
      <c r="F37" s="146"/>
    </row>
    <row r="38" customFormat="false" ht="15" hidden="false" customHeight="false" outlineLevel="0" collapsed="false">
      <c r="A38" s="146" t="n">
        <v>44743.5</v>
      </c>
      <c r="B38" s="97" t="n">
        <v>21.7108993530273</v>
      </c>
      <c r="F38" s="146"/>
    </row>
    <row r="39" customFormat="false" ht="15" hidden="false" customHeight="false" outlineLevel="0" collapsed="false">
      <c r="A39" s="146" t="n">
        <v>44743.5416666667</v>
      </c>
      <c r="B39" s="97" t="n">
        <v>21.3983993530273</v>
      </c>
      <c r="F39" s="146"/>
    </row>
    <row r="40" customFormat="false" ht="15" hidden="false" customHeight="false" outlineLevel="0" collapsed="false">
      <c r="A40" s="146" t="n">
        <v>44743.5833333333</v>
      </c>
      <c r="B40" s="97" t="n">
        <v>21.4922008514404</v>
      </c>
      <c r="F40" s="146"/>
    </row>
    <row r="41" customFormat="false" ht="15" hidden="false" customHeight="false" outlineLevel="0" collapsed="false">
      <c r="A41" s="146" t="n">
        <v>44743.625</v>
      </c>
      <c r="B41" s="97" t="n">
        <v>21.6952991485596</v>
      </c>
      <c r="F41" s="146"/>
    </row>
    <row r="42" customFormat="false" ht="15" hidden="false" customHeight="false" outlineLevel="0" collapsed="false">
      <c r="A42" s="146" t="n">
        <v>44743.6666666667</v>
      </c>
      <c r="B42" s="97" t="n">
        <v>21.7577991485596</v>
      </c>
      <c r="F42" s="146"/>
    </row>
    <row r="43" customFormat="false" ht="15" hidden="false" customHeight="false" outlineLevel="0" collapsed="false">
      <c r="A43" s="146" t="n">
        <v>44743.7083333333</v>
      </c>
      <c r="B43" s="97" t="n">
        <v>21.8593997955322</v>
      </c>
      <c r="F43" s="146"/>
    </row>
    <row r="44" customFormat="false" ht="15" hidden="false" customHeight="false" outlineLevel="0" collapsed="false">
      <c r="A44" s="146" t="n">
        <v>44743.75</v>
      </c>
      <c r="B44" s="97" t="n">
        <v>21.875</v>
      </c>
      <c r="F44" s="146"/>
    </row>
    <row r="45" customFormat="false" ht="15" hidden="false" customHeight="false" outlineLevel="0" collapsed="false">
      <c r="A45" s="146" t="n">
        <v>44743.7916666667</v>
      </c>
      <c r="B45" s="97" t="n">
        <v>21.9375</v>
      </c>
      <c r="F45" s="146"/>
    </row>
    <row r="46" customFormat="false" ht="15" hidden="false" customHeight="false" outlineLevel="0" collapsed="false">
      <c r="A46" s="146" t="n">
        <v>44743.8333333333</v>
      </c>
      <c r="B46" s="97" t="n">
        <v>21.5781002044678</v>
      </c>
      <c r="F46" s="146"/>
    </row>
    <row r="47" customFormat="false" ht="15" hidden="false" customHeight="false" outlineLevel="0" collapsed="false">
      <c r="A47" s="146" t="n">
        <v>44743.875</v>
      </c>
      <c r="B47" s="97" t="n">
        <v>21.625</v>
      </c>
      <c r="F47" s="146"/>
    </row>
    <row r="48" customFormat="false" ht="15" hidden="false" customHeight="false" outlineLevel="0" collapsed="false">
      <c r="A48" s="146" t="n">
        <v>44743.9166666667</v>
      </c>
      <c r="B48" s="97" t="n">
        <v>21.7343997955322</v>
      </c>
      <c r="F48" s="146"/>
    </row>
    <row r="49" customFormat="false" ht="15" hidden="false" customHeight="false" outlineLevel="0" collapsed="false">
      <c r="A49" s="146" t="n">
        <v>44743.9583333333</v>
      </c>
      <c r="B49" s="97" t="n">
        <v>21.8047008514404</v>
      </c>
      <c r="F49" s="146"/>
    </row>
    <row r="50" customFormat="false" ht="15" hidden="false" customHeight="false" outlineLevel="0" collapsed="false">
      <c r="A50" s="145" t="n">
        <v>44745</v>
      </c>
      <c r="B50" s="97" t="n">
        <v>21.6562004089355</v>
      </c>
    </row>
    <row r="51" customFormat="false" ht="15" hidden="false" customHeight="false" outlineLevel="0" collapsed="false">
      <c r="A51" s="146" t="n">
        <v>44745.0416666667</v>
      </c>
      <c r="B51" s="97" t="n">
        <v>21.7577991485596</v>
      </c>
    </row>
    <row r="52" customFormat="false" ht="15" hidden="false" customHeight="false" outlineLevel="0" collapsed="false">
      <c r="A52" s="146" t="n">
        <v>44745.0833333333</v>
      </c>
      <c r="B52" s="97" t="n">
        <v>21.8358993530273</v>
      </c>
    </row>
    <row r="53" customFormat="false" ht="15" hidden="false" customHeight="false" outlineLevel="0" collapsed="false">
      <c r="A53" s="146" t="n">
        <v>44745.125</v>
      </c>
      <c r="B53" s="97" t="n">
        <v>21.9531002044678</v>
      </c>
    </row>
    <row r="54" customFormat="false" ht="15" hidden="false" customHeight="false" outlineLevel="0" collapsed="false">
      <c r="A54" s="146" t="n">
        <v>44745.1666666667</v>
      </c>
      <c r="B54" s="97" t="n">
        <v>21.9608993530273</v>
      </c>
    </row>
    <row r="55" customFormat="false" ht="15" hidden="false" customHeight="false" outlineLevel="0" collapsed="false">
      <c r="A55" s="146" t="n">
        <v>44745.2083333333</v>
      </c>
      <c r="B55" s="97" t="n">
        <v>22.0156002044678</v>
      </c>
    </row>
    <row r="56" customFormat="false" ht="15" hidden="false" customHeight="false" outlineLevel="0" collapsed="false">
      <c r="A56" s="146" t="n">
        <v>44745.25</v>
      </c>
      <c r="B56" s="97" t="n">
        <v>21.8672008514404</v>
      </c>
    </row>
    <row r="57" customFormat="false" ht="15" hidden="false" customHeight="false" outlineLevel="0" collapsed="false">
      <c r="A57" s="146" t="n">
        <v>44745.2916666667</v>
      </c>
      <c r="B57" s="97" t="n">
        <v>21.7187995910645</v>
      </c>
    </row>
    <row r="58" customFormat="false" ht="15" hidden="false" customHeight="false" outlineLevel="0" collapsed="false">
      <c r="A58" s="146" t="n">
        <v>44745.3333333333</v>
      </c>
      <c r="B58" s="97" t="n">
        <v>21.4766006469727</v>
      </c>
    </row>
    <row r="59" customFormat="false" ht="15" hidden="false" customHeight="false" outlineLevel="0" collapsed="false">
      <c r="A59" s="146" t="n">
        <v>44745.375</v>
      </c>
      <c r="B59" s="97" t="n">
        <v>21.8516006469727</v>
      </c>
    </row>
    <row r="60" customFormat="false" ht="15" hidden="false" customHeight="false" outlineLevel="0" collapsed="false">
      <c r="A60" s="146" t="n">
        <v>44745.4166666667</v>
      </c>
      <c r="B60" s="97" t="n">
        <v>21.5156002044678</v>
      </c>
    </row>
    <row r="61" customFormat="false" ht="15" hidden="false" customHeight="false" outlineLevel="0" collapsed="false">
      <c r="A61" s="146" t="n">
        <v>44745.4583333333</v>
      </c>
      <c r="B61" s="97" t="n">
        <v>21.8672008514404</v>
      </c>
    </row>
    <row r="62" customFormat="false" ht="15" hidden="false" customHeight="false" outlineLevel="0" collapsed="false">
      <c r="A62" s="146" t="n">
        <v>44745.5</v>
      </c>
      <c r="B62" s="97" t="n">
        <v>21.6797008514404</v>
      </c>
    </row>
    <row r="63" customFormat="false" ht="15" hidden="false" customHeight="false" outlineLevel="0" collapsed="false">
      <c r="A63" s="146" t="n">
        <v>44745.5416666667</v>
      </c>
      <c r="B63" s="97" t="n">
        <v>21.4452991485596</v>
      </c>
    </row>
    <row r="64" customFormat="false" ht="15" hidden="false" customHeight="false" outlineLevel="0" collapsed="false">
      <c r="A64" s="146" t="n">
        <v>44745.5833333333</v>
      </c>
      <c r="B64" s="97" t="n">
        <v>21.75</v>
      </c>
    </row>
    <row r="65" customFormat="false" ht="15" hidden="false" customHeight="false" outlineLevel="0" collapsed="false">
      <c r="A65" s="146" t="n">
        <v>44745.625</v>
      </c>
      <c r="B65" s="97" t="n">
        <v>21.9531002044678</v>
      </c>
    </row>
    <row r="66" customFormat="false" ht="15" hidden="false" customHeight="false" outlineLevel="0" collapsed="false">
      <c r="A66" s="146" t="n">
        <v>44745.6666666667</v>
      </c>
      <c r="B66" s="97" t="n">
        <v>22.1093997955322</v>
      </c>
    </row>
    <row r="67" customFormat="false" ht="15" hidden="false" customHeight="false" outlineLevel="0" collapsed="false">
      <c r="A67" s="146" t="n">
        <v>44745.7083333333</v>
      </c>
      <c r="B67" s="97" t="n">
        <v>21.6718997955322</v>
      </c>
    </row>
    <row r="68" customFormat="false" ht="15" hidden="false" customHeight="false" outlineLevel="0" collapsed="false">
      <c r="A68" s="146" t="n">
        <v>44745.75</v>
      </c>
      <c r="B68" s="97" t="n">
        <v>21.9297008514404</v>
      </c>
    </row>
    <row r="69" customFormat="false" ht="15" hidden="false" customHeight="false" outlineLevel="0" collapsed="false">
      <c r="A69" s="146" t="n">
        <v>44745.7916666667</v>
      </c>
      <c r="B69" s="97" t="n">
        <v>22.0625</v>
      </c>
    </row>
    <row r="70" customFormat="false" ht="15" hidden="false" customHeight="false" outlineLevel="0" collapsed="false">
      <c r="A70" s="146" t="n">
        <v>44745.8333333333</v>
      </c>
      <c r="B70" s="97" t="n">
        <v>21.5547008514404</v>
      </c>
    </row>
    <row r="71" customFormat="false" ht="15" hidden="false" customHeight="false" outlineLevel="0" collapsed="false">
      <c r="A71" s="146" t="n">
        <v>44745.875</v>
      </c>
      <c r="B71" s="97" t="n">
        <v>21.7968997955322</v>
      </c>
    </row>
    <row r="72" customFormat="false" ht="15" hidden="false" customHeight="false" outlineLevel="0" collapsed="false">
      <c r="A72" s="146" t="n">
        <v>44745.9166666667</v>
      </c>
      <c r="B72" s="97" t="n">
        <v>21.9452991485596</v>
      </c>
    </row>
    <row r="73" customFormat="false" ht="15" hidden="false" customHeight="false" outlineLevel="0" collapsed="false">
      <c r="A73" s="146" t="n">
        <v>44745.9583333333</v>
      </c>
      <c r="B73" s="97" t="n">
        <v>22.0625</v>
      </c>
    </row>
    <row r="74" customFormat="false" ht="15" hidden="false" customHeight="false" outlineLevel="0" collapsed="false">
      <c r="A74" s="145" t="n">
        <v>44747</v>
      </c>
      <c r="B74" s="97" t="n">
        <v>19.8047008514404</v>
      </c>
    </row>
    <row r="75" customFormat="false" ht="15" hidden="false" customHeight="false" outlineLevel="0" collapsed="false">
      <c r="A75" s="146" t="n">
        <v>44747.0416666667</v>
      </c>
      <c r="B75" s="97" t="n">
        <v>19.1016006469727</v>
      </c>
    </row>
    <row r="76" customFormat="false" ht="15" hidden="false" customHeight="false" outlineLevel="0" collapsed="false">
      <c r="A76" s="146" t="n">
        <v>44747.0833333333</v>
      </c>
      <c r="B76" s="97" t="n">
        <v>19.6952991485596</v>
      </c>
    </row>
    <row r="77" customFormat="false" ht="15" hidden="false" customHeight="false" outlineLevel="0" collapsed="false">
      <c r="A77" s="146" t="n">
        <v>44747.125</v>
      </c>
      <c r="B77" s="97" t="n">
        <v>19.2656002044678</v>
      </c>
    </row>
    <row r="78" customFormat="false" ht="15" hidden="false" customHeight="false" outlineLevel="0" collapsed="false">
      <c r="A78" s="146" t="n">
        <v>44747.1666666667</v>
      </c>
      <c r="B78" s="97" t="n">
        <v>19.8358993530273</v>
      </c>
    </row>
    <row r="79" customFormat="false" ht="15" hidden="false" customHeight="false" outlineLevel="0" collapsed="false">
      <c r="A79" s="146" t="n">
        <v>44747.2083333333</v>
      </c>
      <c r="B79" s="97" t="n">
        <v>19.5702991485596</v>
      </c>
    </row>
    <row r="80" customFormat="false" ht="15" hidden="false" customHeight="false" outlineLevel="0" collapsed="false">
      <c r="A80" s="146" t="n">
        <v>44747.25</v>
      </c>
      <c r="B80" s="97" t="n">
        <v>19.625</v>
      </c>
    </row>
    <row r="81" customFormat="false" ht="15" hidden="false" customHeight="false" outlineLevel="0" collapsed="false">
      <c r="A81" s="146" t="n">
        <v>44747.2916666667</v>
      </c>
      <c r="B81" s="97" t="n">
        <v>20.125</v>
      </c>
    </row>
    <row r="82" customFormat="false" ht="15" hidden="false" customHeight="false" outlineLevel="0" collapsed="false">
      <c r="A82" s="146" t="n">
        <v>44747.3333333333</v>
      </c>
      <c r="B82" s="97" t="n">
        <v>19.2733993530273</v>
      </c>
    </row>
    <row r="83" customFormat="false" ht="15" hidden="false" customHeight="false" outlineLevel="0" collapsed="false">
      <c r="A83" s="146" t="n">
        <v>44747.375</v>
      </c>
      <c r="B83" s="97" t="n">
        <v>19.6172008514404</v>
      </c>
    </row>
    <row r="84" customFormat="false" ht="15" hidden="false" customHeight="false" outlineLevel="0" collapsed="false">
      <c r="A84" s="146" t="n">
        <v>44747.4166666667</v>
      </c>
      <c r="B84" s="97" t="n">
        <v>20.2108993530273</v>
      </c>
    </row>
    <row r="85" customFormat="false" ht="15" hidden="false" customHeight="false" outlineLevel="0" collapsed="false">
      <c r="A85" s="146" t="n">
        <v>44747.4583333333</v>
      </c>
      <c r="B85" s="97" t="n">
        <v>19.6952991485596</v>
      </c>
    </row>
    <row r="86" customFormat="false" ht="15" hidden="false" customHeight="false" outlineLevel="0" collapsed="false">
      <c r="A86" s="146" t="n">
        <v>44747.5</v>
      </c>
      <c r="B86" s="97" t="n">
        <v>19.8593997955322</v>
      </c>
    </row>
    <row r="87" customFormat="false" ht="15" hidden="false" customHeight="false" outlineLevel="0" collapsed="false">
      <c r="A87" s="146" t="n">
        <v>44747.5416666667</v>
      </c>
      <c r="B87" s="97" t="n">
        <v>19.8983993530273</v>
      </c>
    </row>
    <row r="88" customFormat="false" ht="15" hidden="false" customHeight="false" outlineLevel="0" collapsed="false">
      <c r="A88" s="146" t="n">
        <v>44747.5833333333</v>
      </c>
      <c r="B88" s="97" t="n">
        <v>19.5858993530273</v>
      </c>
    </row>
    <row r="89" customFormat="false" ht="15" hidden="false" customHeight="false" outlineLevel="0" collapsed="false">
      <c r="A89" s="146" t="n">
        <v>44747.625</v>
      </c>
      <c r="B89" s="97" t="n">
        <v>19.5312004089355</v>
      </c>
    </row>
    <row r="90" customFormat="false" ht="15" hidden="false" customHeight="false" outlineLevel="0" collapsed="false">
      <c r="A90" s="146" t="n">
        <v>44747.6666666667</v>
      </c>
      <c r="B90" s="97" t="n">
        <v>20.1797008514404</v>
      </c>
    </row>
    <row r="91" customFormat="false" ht="15" hidden="false" customHeight="false" outlineLevel="0" collapsed="false">
      <c r="A91" s="146" t="n">
        <v>44747.7083333333</v>
      </c>
      <c r="B91" s="97" t="n">
        <v>19.8358993530273</v>
      </c>
    </row>
    <row r="92" customFormat="false" ht="15" hidden="false" customHeight="false" outlineLevel="0" collapsed="false">
      <c r="A92" s="146" t="n">
        <v>44747.75</v>
      </c>
      <c r="B92" s="97" t="n">
        <v>20.2968997955322</v>
      </c>
    </row>
    <row r="93" customFormat="false" ht="15" hidden="false" customHeight="false" outlineLevel="0" collapsed="false">
      <c r="A93" s="146" t="n">
        <v>44747.7916666667</v>
      </c>
      <c r="B93" s="97" t="n">
        <v>19.8593997955322</v>
      </c>
    </row>
    <row r="94" customFormat="false" ht="15" hidden="false" customHeight="false" outlineLevel="0" collapsed="false">
      <c r="A94" s="146" t="n">
        <v>44747.8333333333</v>
      </c>
      <c r="B94" s="97" t="n">
        <v>20.3437995910645</v>
      </c>
    </row>
    <row r="95" customFormat="false" ht="15" hidden="false" customHeight="false" outlineLevel="0" collapsed="false">
      <c r="A95" s="146" t="n">
        <v>44747.875</v>
      </c>
      <c r="B95" s="97" t="n">
        <v>19.8437995910645</v>
      </c>
    </row>
    <row r="96" customFormat="false" ht="15" hidden="false" customHeight="false" outlineLevel="0" collapsed="false">
      <c r="A96" s="146" t="n">
        <v>44747.9166666667</v>
      </c>
      <c r="B96" s="97" t="n">
        <v>20.2891006469727</v>
      </c>
    </row>
    <row r="97" customFormat="false" ht="15" hidden="false" customHeight="false" outlineLevel="0" collapsed="false">
      <c r="A97" s="146" t="n">
        <v>44747.9583333333</v>
      </c>
      <c r="B97" s="97" t="n">
        <v>19.8516006469727</v>
      </c>
    </row>
  </sheetData>
  <mergeCells count="1">
    <mergeCell ref="D2:O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0" activeCellId="1" sqref="A2:C2 E20"/>
    </sheetView>
  </sheetViews>
  <sheetFormatPr defaultColWidth="11.4296875" defaultRowHeight="15" zeroHeight="false" outlineLevelRow="0" outlineLevelCol="0"/>
  <cols>
    <col collapsed="false" customWidth="true" hidden="false" outlineLevel="0" max="1" min="1" style="97" width="17.14"/>
    <col collapsed="false" customWidth="true" hidden="false" outlineLevel="0" max="2" min="2" style="97" width="26.86"/>
  </cols>
  <sheetData>
    <row r="1" customFormat="false" ht="15" hidden="false" customHeight="false" outlineLevel="0" collapsed="false">
      <c r="A1" s="97" t="s">
        <v>124</v>
      </c>
      <c r="B1" s="97" t="s">
        <v>125</v>
      </c>
    </row>
    <row r="2" customFormat="false" ht="15" hidden="false" customHeight="false" outlineLevel="0" collapsed="false">
      <c r="A2" s="147" t="n">
        <v>44727</v>
      </c>
      <c r="B2" s="97" t="n">
        <v>20.7968997955322</v>
      </c>
    </row>
    <row r="3" customFormat="false" ht="15" hidden="false" customHeight="false" outlineLevel="0" collapsed="false">
      <c r="A3" s="146" t="n">
        <v>44727.0416666667</v>
      </c>
      <c r="B3" s="97" t="n">
        <v>20.7733993530273</v>
      </c>
    </row>
    <row r="4" customFormat="false" ht="15" hidden="false" customHeight="false" outlineLevel="0" collapsed="false">
      <c r="A4" s="146" t="n">
        <v>44727.0833333333</v>
      </c>
      <c r="B4" s="97" t="n">
        <v>20.75</v>
      </c>
    </row>
    <row r="5" customFormat="false" ht="15" hidden="false" customHeight="false" outlineLevel="0" collapsed="false">
      <c r="A5" s="146" t="n">
        <v>44727.125</v>
      </c>
      <c r="B5" s="97" t="n">
        <v>20.7968997955322</v>
      </c>
    </row>
    <row r="6" customFormat="false" ht="15" hidden="false" customHeight="false" outlineLevel="0" collapsed="false">
      <c r="A6" s="146" t="n">
        <v>44727.1666666667</v>
      </c>
      <c r="B6" s="97" t="n">
        <v>20.8593997955322</v>
      </c>
    </row>
    <row r="7" customFormat="false" ht="15" hidden="false" customHeight="false" outlineLevel="0" collapsed="false">
      <c r="A7" s="146" t="n">
        <v>44727.2083333333</v>
      </c>
      <c r="B7" s="97" t="n">
        <v>20.7733993530273</v>
      </c>
    </row>
    <row r="8" customFormat="false" ht="15" hidden="false" customHeight="false" outlineLevel="0" collapsed="false">
      <c r="A8" s="146" t="n">
        <v>44727.25</v>
      </c>
      <c r="B8" s="97" t="n">
        <v>20.7812004089355</v>
      </c>
    </row>
    <row r="9" customFormat="false" ht="15" hidden="false" customHeight="false" outlineLevel="0" collapsed="false">
      <c r="A9" s="146" t="n">
        <v>44727.2916666667</v>
      </c>
      <c r="B9" s="97" t="n">
        <v>20.7812004089355</v>
      </c>
    </row>
    <row r="10" customFormat="false" ht="15" hidden="false" customHeight="false" outlineLevel="0" collapsed="false">
      <c r="A10" s="146" t="n">
        <v>44727.3333333333</v>
      </c>
      <c r="B10" s="97" t="n">
        <v>20.6483993530273</v>
      </c>
    </row>
    <row r="11" customFormat="false" ht="15" hidden="false" customHeight="false" outlineLevel="0" collapsed="false">
      <c r="A11" s="146" t="n">
        <v>44727.375</v>
      </c>
      <c r="B11" s="97" t="n">
        <v>20.75</v>
      </c>
    </row>
    <row r="12" customFormat="false" ht="15" hidden="false" customHeight="false" outlineLevel="0" collapsed="false">
      <c r="A12" s="146" t="n">
        <v>44727.4166666667</v>
      </c>
      <c r="B12" s="97" t="n">
        <v>20.7812004089355</v>
      </c>
    </row>
    <row r="13" customFormat="false" ht="15" hidden="false" customHeight="false" outlineLevel="0" collapsed="false">
      <c r="A13" s="146" t="n">
        <v>44727.4583333333</v>
      </c>
      <c r="B13" s="97" t="n">
        <v>20.7812004089355</v>
      </c>
    </row>
    <row r="14" customFormat="false" ht="15" hidden="false" customHeight="false" outlineLevel="0" collapsed="false">
      <c r="A14" s="146" t="n">
        <v>44727.5</v>
      </c>
      <c r="B14" s="97" t="n">
        <v>20.7656002044678</v>
      </c>
    </row>
    <row r="15" customFormat="false" ht="15" hidden="false" customHeight="false" outlineLevel="0" collapsed="false">
      <c r="A15" s="146" t="n">
        <v>44727.5416666667</v>
      </c>
      <c r="B15" s="97" t="n">
        <v>20.3437995910645</v>
      </c>
    </row>
    <row r="16" customFormat="false" ht="15" hidden="false" customHeight="false" outlineLevel="0" collapsed="false">
      <c r="A16" s="146" t="n">
        <v>44727.5833333333</v>
      </c>
      <c r="B16" s="97" t="n">
        <v>20.9766006469727</v>
      </c>
    </row>
    <row r="17" customFormat="false" ht="15" hidden="false" customHeight="false" outlineLevel="0" collapsed="false">
      <c r="A17" s="146" t="n">
        <v>44727.625</v>
      </c>
      <c r="B17" s="97" t="n">
        <v>20.9375</v>
      </c>
    </row>
    <row r="18" customFormat="false" ht="15" hidden="false" customHeight="false" outlineLevel="0" collapsed="false">
      <c r="A18" s="146" t="n">
        <v>44727.6666666667</v>
      </c>
      <c r="B18" s="97" t="n">
        <v>20.9218997955322</v>
      </c>
    </row>
    <row r="19" customFormat="false" ht="15" hidden="false" customHeight="false" outlineLevel="0" collapsed="false">
      <c r="A19" s="146" t="n">
        <v>44727.7083333333</v>
      </c>
      <c r="B19" s="97" t="n">
        <v>20.9531002044678</v>
      </c>
    </row>
    <row r="20" customFormat="false" ht="15" hidden="false" customHeight="false" outlineLevel="0" collapsed="false">
      <c r="A20" s="146" t="n">
        <v>44727.75</v>
      </c>
      <c r="B20" s="97" t="n">
        <v>20.9531002044678</v>
      </c>
    </row>
    <row r="21" customFormat="false" ht="15" hidden="false" customHeight="false" outlineLevel="0" collapsed="false">
      <c r="A21" s="146" t="n">
        <v>44727.7916666667</v>
      </c>
      <c r="B21" s="97" t="n">
        <v>20.8906002044678</v>
      </c>
    </row>
    <row r="22" customFormat="false" ht="15" hidden="false" customHeight="false" outlineLevel="0" collapsed="false">
      <c r="A22" s="146" t="n">
        <v>44727.8333333333</v>
      </c>
      <c r="B22" s="97" t="n">
        <v>21.0077991485596</v>
      </c>
    </row>
    <row r="23" customFormat="false" ht="15" hidden="false" customHeight="false" outlineLevel="0" collapsed="false">
      <c r="A23" s="146" t="n">
        <v>44727.875</v>
      </c>
      <c r="B23" s="97" t="n">
        <v>20.8827991485596</v>
      </c>
    </row>
    <row r="24" customFormat="false" ht="15" hidden="false" customHeight="false" outlineLevel="0" collapsed="false">
      <c r="A24" s="146" t="n">
        <v>44727.9166666667</v>
      </c>
      <c r="B24" s="97" t="n">
        <v>21</v>
      </c>
    </row>
    <row r="25" customFormat="false" ht="15" hidden="false" customHeight="false" outlineLevel="0" collapsed="false">
      <c r="A25" s="146" t="n">
        <v>44727.9583333333</v>
      </c>
      <c r="B25" s="97" t="n">
        <v>20.8983993530273</v>
      </c>
    </row>
    <row r="26" customFormat="false" ht="15" hidden="false" customHeight="false" outlineLevel="0" collapsed="false">
      <c r="A26" s="147" t="n">
        <v>44728</v>
      </c>
      <c r="B26" s="97" t="n">
        <v>20.8827991485596</v>
      </c>
    </row>
    <row r="27" customFormat="false" ht="15" hidden="false" customHeight="false" outlineLevel="0" collapsed="false">
      <c r="A27" s="146" t="n">
        <v>44728.0416666667</v>
      </c>
      <c r="B27" s="97" t="n">
        <v>20.9218997955322</v>
      </c>
    </row>
    <row r="28" customFormat="false" ht="15" hidden="false" customHeight="false" outlineLevel="0" collapsed="false">
      <c r="A28" s="146" t="n">
        <v>44728.0833333333</v>
      </c>
      <c r="B28" s="97" t="n">
        <v>20.9452991485596</v>
      </c>
    </row>
    <row r="29" customFormat="false" ht="15" hidden="false" customHeight="false" outlineLevel="0" collapsed="false">
      <c r="A29" s="146" t="n">
        <v>44728.125</v>
      </c>
      <c r="B29" s="97" t="n">
        <v>20.8906002044678</v>
      </c>
    </row>
    <row r="30" customFormat="false" ht="15" hidden="false" customHeight="false" outlineLevel="0" collapsed="false">
      <c r="A30" s="146" t="n">
        <v>44728.1666666667</v>
      </c>
      <c r="B30" s="97" t="n">
        <v>20.875</v>
      </c>
    </row>
    <row r="31" customFormat="false" ht="15" hidden="false" customHeight="false" outlineLevel="0" collapsed="false">
      <c r="A31" s="146" t="n">
        <v>44728.2083333333</v>
      </c>
      <c r="B31" s="97" t="n">
        <v>20.8827991485596</v>
      </c>
    </row>
    <row r="32" customFormat="false" ht="15" hidden="false" customHeight="false" outlineLevel="0" collapsed="false">
      <c r="A32" s="146" t="n">
        <v>44728.25</v>
      </c>
      <c r="B32" s="97" t="n">
        <v>20.9218997955322</v>
      </c>
    </row>
    <row r="33" customFormat="false" ht="15" hidden="false" customHeight="false" outlineLevel="0" collapsed="false">
      <c r="A33" s="146" t="n">
        <v>44728.2916666667</v>
      </c>
      <c r="B33" s="97" t="n">
        <v>21.0077991485596</v>
      </c>
    </row>
    <row r="34" customFormat="false" ht="15" hidden="false" customHeight="false" outlineLevel="0" collapsed="false">
      <c r="A34" s="146" t="n">
        <v>44728.3333333333</v>
      </c>
      <c r="B34" s="97" t="n">
        <v>20.9218997955322</v>
      </c>
    </row>
    <row r="35" customFormat="false" ht="15" hidden="false" customHeight="false" outlineLevel="0" collapsed="false">
      <c r="A35" s="146" t="n">
        <v>44728.375</v>
      </c>
      <c r="B35" s="97" t="n">
        <v>20.8437995910645</v>
      </c>
    </row>
    <row r="36" customFormat="false" ht="15" hidden="false" customHeight="false" outlineLevel="0" collapsed="false">
      <c r="A36" s="146" t="n">
        <v>44728.4166666667</v>
      </c>
      <c r="B36" s="97" t="n">
        <v>20.9766006469727</v>
      </c>
    </row>
    <row r="37" customFormat="false" ht="15" hidden="false" customHeight="false" outlineLevel="0" collapsed="false">
      <c r="A37" s="146" t="n">
        <v>44728.4583333333</v>
      </c>
      <c r="B37" s="97" t="n">
        <v>21.0156002044678</v>
      </c>
    </row>
    <row r="38" customFormat="false" ht="15" hidden="false" customHeight="false" outlineLevel="0" collapsed="false">
      <c r="A38" s="146" t="n">
        <v>44728.5</v>
      </c>
      <c r="B38" s="97" t="n">
        <v>21.0077991485596</v>
      </c>
    </row>
    <row r="39" customFormat="false" ht="15" hidden="false" customHeight="false" outlineLevel="0" collapsed="false">
      <c r="A39" s="146" t="n">
        <v>44728.5416666667</v>
      </c>
      <c r="B39" s="97" t="n">
        <v>21.0312004089355</v>
      </c>
    </row>
    <row r="40" customFormat="false" ht="15" hidden="false" customHeight="false" outlineLevel="0" collapsed="false">
      <c r="A40" s="146" t="n">
        <v>44728.5833333333</v>
      </c>
      <c r="B40" s="97" t="n">
        <v>20.0702991485596</v>
      </c>
    </row>
    <row r="41" customFormat="false" ht="15" hidden="false" customHeight="false" outlineLevel="0" collapsed="false">
      <c r="A41" s="146" t="n">
        <v>44728.625</v>
      </c>
      <c r="B41" s="97" t="n">
        <v>21.3437995910645</v>
      </c>
    </row>
    <row r="42" customFormat="false" ht="15" hidden="false" customHeight="false" outlineLevel="0" collapsed="false">
      <c r="A42" s="146" t="n">
        <v>44728.6666666667</v>
      </c>
      <c r="B42" s="97" t="n">
        <v>21.2968997955322</v>
      </c>
    </row>
    <row r="43" customFormat="false" ht="15" hidden="false" customHeight="false" outlineLevel="0" collapsed="false">
      <c r="A43" s="146" t="n">
        <v>44728.7083333333</v>
      </c>
      <c r="B43" s="97" t="n">
        <v>21.2266006469727</v>
      </c>
    </row>
    <row r="44" customFormat="false" ht="15" hidden="false" customHeight="false" outlineLevel="0" collapsed="false">
      <c r="A44" s="146" t="n">
        <v>44728.75</v>
      </c>
      <c r="B44" s="97" t="n">
        <v>21.2108993530273</v>
      </c>
    </row>
    <row r="45" customFormat="false" ht="15" hidden="false" customHeight="false" outlineLevel="0" collapsed="false">
      <c r="A45" s="146" t="n">
        <v>44728.7916666667</v>
      </c>
      <c r="B45" s="97" t="n">
        <v>21.1875</v>
      </c>
    </row>
    <row r="46" customFormat="false" ht="15" hidden="false" customHeight="false" outlineLevel="0" collapsed="false">
      <c r="A46" s="146" t="n">
        <v>44728.8333333333</v>
      </c>
      <c r="B46" s="97" t="n">
        <v>21.125</v>
      </c>
    </row>
    <row r="47" customFormat="false" ht="15" hidden="false" customHeight="false" outlineLevel="0" collapsed="false">
      <c r="A47" s="146" t="n">
        <v>44728.875</v>
      </c>
      <c r="B47" s="97" t="n">
        <v>21.0468997955322</v>
      </c>
    </row>
    <row r="48" customFormat="false" ht="15" hidden="false" customHeight="false" outlineLevel="0" collapsed="false">
      <c r="A48" s="146" t="n">
        <v>44728.9166666667</v>
      </c>
      <c r="B48" s="97" t="n">
        <v>21.0858993530273</v>
      </c>
    </row>
    <row r="49" customFormat="false" ht="15" hidden="false" customHeight="false" outlineLevel="0" collapsed="false">
      <c r="A49" s="146" t="n">
        <v>44728.9583333333</v>
      </c>
      <c r="B49" s="97" t="n">
        <v>21.0391006469727</v>
      </c>
    </row>
    <row r="50" customFormat="false" ht="15" hidden="false" customHeight="false" outlineLevel="0" collapsed="false">
      <c r="A50" s="147" t="n">
        <v>44729</v>
      </c>
      <c r="B50" s="97" t="n">
        <v>21.0391006469727</v>
      </c>
    </row>
    <row r="51" customFormat="false" ht="15" hidden="false" customHeight="false" outlineLevel="0" collapsed="false">
      <c r="A51" s="146" t="n">
        <v>44729.0416666667</v>
      </c>
      <c r="B51" s="97" t="n">
        <v>21.0468997955322</v>
      </c>
    </row>
    <row r="52" customFormat="false" ht="15" hidden="false" customHeight="false" outlineLevel="0" collapsed="false">
      <c r="A52" s="146" t="n">
        <v>44729.0833333333</v>
      </c>
      <c r="B52" s="97" t="n">
        <v>21.0625</v>
      </c>
    </row>
    <row r="53" customFormat="false" ht="15" hidden="false" customHeight="false" outlineLevel="0" collapsed="false">
      <c r="A53" s="146" t="n">
        <v>44729.125</v>
      </c>
      <c r="B53" s="97" t="n">
        <v>21.0156002044678</v>
      </c>
    </row>
    <row r="54" customFormat="false" ht="15" hidden="false" customHeight="false" outlineLevel="0" collapsed="false">
      <c r="A54" s="146" t="n">
        <v>44729.1666666667</v>
      </c>
      <c r="B54" s="97" t="n">
        <v>20.9062004089355</v>
      </c>
    </row>
    <row r="55" customFormat="false" ht="15" hidden="false" customHeight="false" outlineLevel="0" collapsed="false">
      <c r="A55" s="146" t="n">
        <v>44729.2083333333</v>
      </c>
      <c r="B55" s="97" t="n">
        <v>20.9922008514404</v>
      </c>
    </row>
    <row r="56" customFormat="false" ht="15" hidden="false" customHeight="false" outlineLevel="0" collapsed="false">
      <c r="A56" s="146" t="n">
        <v>44729.25</v>
      </c>
      <c r="B56" s="97" t="n">
        <v>21.0233993530273</v>
      </c>
    </row>
    <row r="57" customFormat="false" ht="15" hidden="false" customHeight="false" outlineLevel="0" collapsed="false">
      <c r="A57" s="146" t="n">
        <v>44729.2916666667</v>
      </c>
      <c r="B57" s="97" t="n">
        <v>20.9452991485596</v>
      </c>
    </row>
    <row r="58" customFormat="false" ht="15" hidden="false" customHeight="false" outlineLevel="0" collapsed="false">
      <c r="A58" s="146" t="n">
        <v>44729.3333333333</v>
      </c>
      <c r="B58" s="97" t="n">
        <v>20.9843997955322</v>
      </c>
    </row>
    <row r="59" customFormat="false" ht="15" hidden="false" customHeight="false" outlineLevel="0" collapsed="false">
      <c r="A59" s="146" t="n">
        <v>44729.375</v>
      </c>
      <c r="B59" s="97" t="n">
        <v>20.7733993530273</v>
      </c>
    </row>
    <row r="60" customFormat="false" ht="15" hidden="false" customHeight="false" outlineLevel="0" collapsed="false">
      <c r="A60" s="146" t="n">
        <v>44729.4166666667</v>
      </c>
      <c r="B60" s="97" t="n">
        <v>20.0702991485596</v>
      </c>
    </row>
    <row r="61" customFormat="false" ht="15" hidden="false" customHeight="false" outlineLevel="0" collapsed="false">
      <c r="A61" s="146" t="n">
        <v>44729.4583333333</v>
      </c>
      <c r="B61" s="97" t="n">
        <v>21.0468997955322</v>
      </c>
    </row>
    <row r="62" customFormat="false" ht="15" hidden="false" customHeight="false" outlineLevel="0" collapsed="false">
      <c r="A62" s="146" t="n">
        <v>44729.5</v>
      </c>
      <c r="B62" s="97" t="n">
        <v>21.125</v>
      </c>
    </row>
    <row r="63" customFormat="false" ht="15" hidden="false" customHeight="false" outlineLevel="0" collapsed="false">
      <c r="A63" s="146" t="n">
        <v>44729.5416666667</v>
      </c>
      <c r="B63" s="97" t="n">
        <v>21.0547008514404</v>
      </c>
    </row>
    <row r="64" customFormat="false" ht="15" hidden="false" customHeight="false" outlineLevel="0" collapsed="false">
      <c r="A64" s="146" t="n">
        <v>44729.5833333333</v>
      </c>
      <c r="B64" s="97" t="n">
        <v>21.0937995910645</v>
      </c>
    </row>
    <row r="65" customFormat="false" ht="15" hidden="false" customHeight="false" outlineLevel="0" collapsed="false">
      <c r="A65" s="146" t="n">
        <v>44729.625</v>
      </c>
      <c r="B65" s="97" t="n">
        <v>21.0858993530273</v>
      </c>
    </row>
    <row r="66" customFormat="false" ht="15" hidden="false" customHeight="false" outlineLevel="0" collapsed="false">
      <c r="A66" s="146" t="n">
        <v>44729.6666666667</v>
      </c>
      <c r="B66" s="97" t="n">
        <v>21.0781002044678</v>
      </c>
    </row>
    <row r="67" customFormat="false" ht="15" hidden="false" customHeight="false" outlineLevel="0" collapsed="false">
      <c r="A67" s="146" t="n">
        <v>44729.7083333333</v>
      </c>
      <c r="B67" s="97" t="n">
        <v>21.0468997955322</v>
      </c>
    </row>
    <row r="68" customFormat="false" ht="15" hidden="false" customHeight="false" outlineLevel="0" collapsed="false">
      <c r="A68" s="146" t="n">
        <v>44729.75</v>
      </c>
      <c r="B68" s="97" t="n">
        <v>21.1327991485596</v>
      </c>
    </row>
    <row r="69" customFormat="false" ht="15" hidden="false" customHeight="false" outlineLevel="0" collapsed="false">
      <c r="A69" s="146" t="n">
        <v>44729.7916666667</v>
      </c>
      <c r="B69" s="97" t="n">
        <v>21.0312004089355</v>
      </c>
    </row>
    <row r="70" customFormat="false" ht="15" hidden="false" customHeight="false" outlineLevel="0" collapsed="false">
      <c r="A70" s="146" t="n">
        <v>44729.8333333333</v>
      </c>
      <c r="B70" s="97" t="n">
        <v>21.0547008514404</v>
      </c>
    </row>
    <row r="71" customFormat="false" ht="15" hidden="false" customHeight="false" outlineLevel="0" collapsed="false">
      <c r="A71" s="146" t="n">
        <v>44729.875</v>
      </c>
      <c r="B71" s="97" t="n">
        <v>21</v>
      </c>
    </row>
    <row r="72" customFormat="false" ht="15" hidden="false" customHeight="false" outlineLevel="0" collapsed="false">
      <c r="A72" s="146" t="n">
        <v>44729.9166666667</v>
      </c>
      <c r="B72" s="97" t="n">
        <v>21.0233993530273</v>
      </c>
    </row>
    <row r="73" customFormat="false" ht="15" hidden="false" customHeight="false" outlineLevel="0" collapsed="false">
      <c r="A73" s="146" t="n">
        <v>44729.9583333333</v>
      </c>
      <c r="B73" s="97" t="n">
        <v>20.9766006469727</v>
      </c>
    </row>
    <row r="74" customFormat="false" ht="15" hidden="false" customHeight="false" outlineLevel="0" collapsed="false">
      <c r="A74" s="147" t="n">
        <v>44730</v>
      </c>
      <c r="B74" s="97" t="n">
        <v>21.0233993530273</v>
      </c>
    </row>
    <row r="75" customFormat="false" ht="15" hidden="false" customHeight="false" outlineLevel="0" collapsed="false">
      <c r="A75" s="146" t="n">
        <v>44730.0416666667</v>
      </c>
      <c r="B75" s="97" t="n">
        <v>21.0547008514404</v>
      </c>
    </row>
    <row r="76" customFormat="false" ht="15" hidden="false" customHeight="false" outlineLevel="0" collapsed="false">
      <c r="A76" s="146" t="n">
        <v>44730.0833333333</v>
      </c>
      <c r="B76" s="97" t="n">
        <v>20.9922008514404</v>
      </c>
    </row>
    <row r="77" customFormat="false" ht="15" hidden="false" customHeight="false" outlineLevel="0" collapsed="false">
      <c r="A77" s="146" t="n">
        <v>44730.125</v>
      </c>
      <c r="B77" s="97" t="n">
        <v>20.9922008514404</v>
      </c>
    </row>
    <row r="78" customFormat="false" ht="15" hidden="false" customHeight="false" outlineLevel="0" collapsed="false">
      <c r="A78" s="146" t="n">
        <v>44730.1666666667</v>
      </c>
      <c r="B78" s="97" t="n">
        <v>21.0077991485596</v>
      </c>
    </row>
    <row r="79" customFormat="false" ht="15" hidden="false" customHeight="false" outlineLevel="0" collapsed="false">
      <c r="A79" s="146" t="n">
        <v>44730.2083333333</v>
      </c>
      <c r="B79" s="97" t="n">
        <v>21.0547008514404</v>
      </c>
    </row>
    <row r="80" customFormat="false" ht="15" hidden="false" customHeight="false" outlineLevel="0" collapsed="false">
      <c r="A80" s="146" t="n">
        <v>44730.25</v>
      </c>
      <c r="B80" s="97" t="n">
        <v>21</v>
      </c>
    </row>
    <row r="81" customFormat="false" ht="15" hidden="false" customHeight="false" outlineLevel="0" collapsed="false">
      <c r="A81" s="146" t="n">
        <v>44730.2916666667</v>
      </c>
      <c r="B81" s="97" t="n">
        <v>21.0702991485596</v>
      </c>
    </row>
    <row r="82" customFormat="false" ht="15" hidden="false" customHeight="false" outlineLevel="0" collapsed="false">
      <c r="A82" s="146" t="n">
        <v>44730.3333333333</v>
      </c>
      <c r="B82" s="97" t="n">
        <v>21</v>
      </c>
    </row>
    <row r="83" customFormat="false" ht="15" hidden="false" customHeight="false" outlineLevel="0" collapsed="false">
      <c r="A83" s="146" t="n">
        <v>44730.375</v>
      </c>
      <c r="B83" s="97" t="n">
        <v>20.8047008514404</v>
      </c>
    </row>
    <row r="84" customFormat="false" ht="15" hidden="false" customHeight="false" outlineLevel="0" collapsed="false">
      <c r="A84" s="146" t="n">
        <v>44730.4166666667</v>
      </c>
      <c r="B84" s="97" t="n">
        <v>20.9218997955322</v>
      </c>
    </row>
    <row r="85" customFormat="false" ht="15" hidden="false" customHeight="false" outlineLevel="0" collapsed="false">
      <c r="A85" s="146" t="n">
        <v>44730.4583333333</v>
      </c>
      <c r="B85" s="97" t="n">
        <v>21.0312004089355</v>
      </c>
    </row>
    <row r="86" customFormat="false" ht="15" hidden="false" customHeight="false" outlineLevel="0" collapsed="false">
      <c r="A86" s="146" t="n">
        <v>44730.5</v>
      </c>
      <c r="B86" s="97" t="n">
        <v>21.0156002044678</v>
      </c>
    </row>
    <row r="87" customFormat="false" ht="15" hidden="false" customHeight="false" outlineLevel="0" collapsed="false">
      <c r="A87" s="146" t="n">
        <v>44730.5416666667</v>
      </c>
      <c r="B87" s="97" t="n">
        <v>20.8358993530273</v>
      </c>
    </row>
    <row r="88" customFormat="false" ht="15" hidden="false" customHeight="false" outlineLevel="0" collapsed="false">
      <c r="A88" s="146" t="n">
        <v>44730.5833333333</v>
      </c>
      <c r="B88" s="97" t="n">
        <v>20.75</v>
      </c>
    </row>
    <row r="89" customFormat="false" ht="15" hidden="false" customHeight="false" outlineLevel="0" collapsed="false">
      <c r="A89" s="146" t="n">
        <v>44730.625</v>
      </c>
      <c r="B89" s="97" t="n">
        <v>20.8593997955322</v>
      </c>
    </row>
    <row r="90" customFormat="false" ht="15" hidden="false" customHeight="false" outlineLevel="0" collapsed="false">
      <c r="A90" s="146" t="n">
        <v>44730.6666666667</v>
      </c>
      <c r="B90" s="97" t="n">
        <v>20.8516006469727</v>
      </c>
    </row>
    <row r="91" customFormat="false" ht="15" hidden="false" customHeight="false" outlineLevel="0" collapsed="false">
      <c r="A91" s="146" t="n">
        <v>44730.7083333333</v>
      </c>
      <c r="B91" s="97" t="n">
        <v>20.8125</v>
      </c>
    </row>
    <row r="92" customFormat="false" ht="15" hidden="false" customHeight="false" outlineLevel="0" collapsed="false">
      <c r="A92" s="146" t="n">
        <v>44730.75</v>
      </c>
      <c r="B92" s="97" t="n">
        <v>20.875</v>
      </c>
    </row>
    <row r="93" customFormat="false" ht="15" hidden="false" customHeight="false" outlineLevel="0" collapsed="false">
      <c r="A93" s="146" t="n">
        <v>44730.7916666667</v>
      </c>
      <c r="B93" s="97" t="n">
        <v>20.8281002044678</v>
      </c>
    </row>
    <row r="94" customFormat="false" ht="15" hidden="false" customHeight="false" outlineLevel="0" collapsed="false">
      <c r="A94" s="146" t="n">
        <v>44730.8333333333</v>
      </c>
      <c r="B94" s="97" t="n">
        <v>20.8672008514404</v>
      </c>
    </row>
    <row r="95" customFormat="false" ht="15" hidden="false" customHeight="false" outlineLevel="0" collapsed="false">
      <c r="A95" s="146" t="n">
        <v>44730.875</v>
      </c>
      <c r="B95" s="97" t="n">
        <v>20.8125</v>
      </c>
    </row>
    <row r="96" customFormat="false" ht="15" hidden="false" customHeight="false" outlineLevel="0" collapsed="false">
      <c r="A96" s="146" t="n">
        <v>44730.9166666667</v>
      </c>
      <c r="B96" s="97" t="n">
        <v>20.8983993530273</v>
      </c>
    </row>
    <row r="97" customFormat="false" ht="15" hidden="false" customHeight="false" outlineLevel="0" collapsed="false">
      <c r="A97" s="146" t="n">
        <v>44730.9583333333</v>
      </c>
      <c r="B97" s="97" t="n">
        <v>20.8983993530273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E5" activeCellId="1" sqref="A2:C2 E5"/>
    </sheetView>
  </sheetViews>
  <sheetFormatPr defaultColWidth="10.16015625" defaultRowHeight="12.8" zeroHeight="false" outlineLevelRow="0" outlineLevelCol="0"/>
  <cols>
    <col collapsed="false" customWidth="true" hidden="false" outlineLevel="0" max="4" min="4" style="97" width="14.44"/>
  </cols>
  <sheetData>
    <row r="1" customFormat="false" ht="13.8" hidden="false" customHeight="false" outlineLevel="0" collapsed="false">
      <c r="A1" s="97" t="s">
        <v>126</v>
      </c>
      <c r="B1" s="97" t="s">
        <v>127</v>
      </c>
      <c r="C1" s="97" t="s">
        <v>128</v>
      </c>
      <c r="D1" s="97" t="s">
        <v>129</v>
      </c>
      <c r="E1" s="97" t="s">
        <v>130</v>
      </c>
    </row>
    <row r="2" customFormat="false" ht="13.8" hidden="false" customHeight="false" outlineLevel="0" collapsed="false">
      <c r="D2" s="97" t="n">
        <v>12</v>
      </c>
      <c r="E2" s="97" t="s">
        <v>10</v>
      </c>
    </row>
    <row r="3" customFormat="false" ht="13.8" hidden="false" customHeight="false" outlineLevel="0" collapsed="false">
      <c r="D3" s="97" t="n">
        <v>12</v>
      </c>
      <c r="E3" s="97" t="s">
        <v>11</v>
      </c>
    </row>
    <row r="4" customFormat="false" ht="13.8" hidden="false" customHeight="false" outlineLevel="0" collapsed="false">
      <c r="D4" s="97" t="n">
        <v>12</v>
      </c>
      <c r="E4" s="97" t="s">
        <v>8</v>
      </c>
    </row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Antonín Kouba</dc:creator>
  <dc:description/>
  <dc:language>en-US</dc:language>
  <cp:lastModifiedBy/>
  <cp:lastPrinted>2022-06-09T09:47:39Z</cp:lastPrinted>
  <dcterms:modified xsi:type="dcterms:W3CDTF">2025-04-08T15:58:48Z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