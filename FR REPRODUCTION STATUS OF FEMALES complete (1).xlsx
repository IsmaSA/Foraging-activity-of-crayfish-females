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IsmaSA\Downloads\"/>
    </mc:Choice>
  </mc:AlternateContent>
  <xr:revisionPtr revIDLastSave="0" documentId="13_ncr:1_{E6AD288C-739F-4860-8A2A-1EB257B0A375}" xr6:coauthVersionLast="47" xr6:coauthVersionMax="47" xr10:uidLastSave="{00000000-0000-0000-0000-000000000000}"/>
  <bookViews>
    <workbookView xWindow="-120" yWindow="-120" windowWidth="29040" windowHeight="15720" tabRatio="500" activeTab="1" xr2:uid="{00000000-000D-0000-FFFF-FFFF00000000}"/>
  </bookViews>
  <sheets>
    <sheet name="Experiment 1" sheetId="1" r:id="rId1"/>
    <sheet name="Experiment 2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AJ2" i="1" l="1"/>
  <c r="L56" i="2"/>
  <c r="AJ55" i="2"/>
  <c r="X55" i="2"/>
  <c r="L55" i="2"/>
  <c r="AJ54" i="2"/>
  <c r="X54" i="2"/>
  <c r="L54" i="2"/>
  <c r="AJ53" i="2"/>
  <c r="X53" i="2"/>
  <c r="L53" i="2"/>
  <c r="AJ52" i="2"/>
  <c r="X52" i="2"/>
  <c r="L52" i="2"/>
  <c r="AJ51" i="2"/>
  <c r="X51" i="2"/>
  <c r="L51" i="2"/>
  <c r="AJ50" i="2"/>
  <c r="X50" i="2"/>
  <c r="L50" i="2"/>
  <c r="AJ49" i="2"/>
  <c r="X49" i="2"/>
  <c r="L49" i="2"/>
  <c r="AJ48" i="2"/>
  <c r="X48" i="2"/>
  <c r="L48" i="2"/>
  <c r="AJ47" i="2"/>
  <c r="X47" i="2"/>
  <c r="L47" i="2"/>
  <c r="AJ46" i="2"/>
  <c r="X46" i="2"/>
  <c r="L46" i="2"/>
  <c r="AJ45" i="2"/>
  <c r="X45" i="2"/>
  <c r="L45" i="2"/>
  <c r="AJ44" i="2"/>
  <c r="X44" i="2"/>
  <c r="L44" i="2"/>
  <c r="AJ43" i="2"/>
  <c r="X43" i="2"/>
  <c r="L43" i="2"/>
  <c r="AJ42" i="2"/>
  <c r="X42" i="2"/>
  <c r="L42" i="2"/>
  <c r="AJ41" i="2"/>
  <c r="X41" i="2"/>
  <c r="L41" i="2"/>
  <c r="AJ40" i="2"/>
  <c r="X40" i="2"/>
  <c r="L40" i="2"/>
  <c r="AJ39" i="2"/>
  <c r="X39" i="2"/>
  <c r="L39" i="2"/>
  <c r="AJ38" i="2"/>
  <c r="X38" i="2"/>
  <c r="L38" i="2"/>
  <c r="AJ37" i="2"/>
  <c r="X37" i="2"/>
  <c r="L37" i="2"/>
  <c r="AJ36" i="2"/>
  <c r="X36" i="2"/>
  <c r="L36" i="2"/>
  <c r="AJ35" i="2"/>
  <c r="X35" i="2"/>
  <c r="L35" i="2"/>
  <c r="AJ34" i="2"/>
  <c r="X34" i="2"/>
  <c r="L34" i="2"/>
  <c r="AJ33" i="2"/>
  <c r="X33" i="2"/>
  <c r="L33" i="2"/>
  <c r="AJ32" i="2"/>
  <c r="X32" i="2"/>
  <c r="L32" i="2"/>
  <c r="AJ31" i="2"/>
  <c r="X31" i="2"/>
  <c r="L31" i="2"/>
  <c r="AJ30" i="2"/>
  <c r="X30" i="2"/>
  <c r="L30" i="2"/>
  <c r="AJ29" i="2"/>
  <c r="X29" i="2"/>
  <c r="L29" i="2"/>
  <c r="AJ28" i="2"/>
  <c r="X28" i="2"/>
  <c r="L28" i="2"/>
  <c r="AJ27" i="2"/>
  <c r="X27" i="2"/>
  <c r="L27" i="2"/>
  <c r="AJ26" i="2"/>
  <c r="X26" i="2"/>
  <c r="L26" i="2"/>
  <c r="AJ25" i="2"/>
  <c r="X25" i="2"/>
  <c r="L25" i="2"/>
  <c r="AJ24" i="2"/>
  <c r="X24" i="2"/>
  <c r="L24" i="2"/>
  <c r="AJ23" i="2"/>
  <c r="X23" i="2"/>
  <c r="L23" i="2"/>
  <c r="AJ22" i="2"/>
  <c r="X22" i="2"/>
  <c r="L22" i="2"/>
  <c r="AJ21" i="2"/>
  <c r="X21" i="2"/>
  <c r="L21" i="2"/>
  <c r="AJ20" i="2"/>
  <c r="X20" i="2"/>
  <c r="L20" i="2"/>
  <c r="AJ19" i="2"/>
  <c r="X19" i="2"/>
  <c r="L19" i="2"/>
  <c r="AJ18" i="2"/>
  <c r="X18" i="2"/>
  <c r="L18" i="2"/>
  <c r="AJ17" i="2"/>
  <c r="X17" i="2"/>
  <c r="L17" i="2"/>
  <c r="AJ16" i="2"/>
  <c r="X16" i="2"/>
  <c r="L16" i="2"/>
  <c r="AJ15" i="2"/>
  <c r="X15" i="2"/>
  <c r="L15" i="2"/>
  <c r="AJ14" i="2"/>
  <c r="X14" i="2"/>
  <c r="L14" i="2"/>
  <c r="AJ13" i="2"/>
  <c r="X13" i="2"/>
  <c r="L13" i="2"/>
  <c r="AJ12" i="2"/>
  <c r="X12" i="2"/>
  <c r="L12" i="2"/>
  <c r="AJ11" i="2"/>
  <c r="X11" i="2"/>
  <c r="L11" i="2"/>
  <c r="AJ10" i="2"/>
  <c r="X10" i="2"/>
  <c r="L10" i="2"/>
  <c r="AJ9" i="2"/>
  <c r="X9" i="2"/>
  <c r="L9" i="2"/>
  <c r="AJ8" i="2"/>
  <c r="X8" i="2"/>
  <c r="L8" i="2"/>
  <c r="AJ7" i="2"/>
  <c r="X7" i="2"/>
  <c r="L7" i="2"/>
  <c r="AJ6" i="2"/>
  <c r="X6" i="2"/>
  <c r="L6" i="2"/>
  <c r="AJ5" i="2"/>
  <c r="X5" i="2"/>
  <c r="L5" i="2"/>
  <c r="AJ4" i="2"/>
  <c r="X4" i="2"/>
  <c r="L4" i="2"/>
  <c r="AJ3" i="2"/>
  <c r="X3" i="2"/>
  <c r="L3" i="2"/>
  <c r="AJ2" i="2"/>
  <c r="X2" i="2"/>
  <c r="L2" i="2"/>
  <c r="AJ73" i="1"/>
  <c r="X73" i="1"/>
  <c r="L73" i="1"/>
  <c r="AJ72" i="1"/>
  <c r="X72" i="1"/>
  <c r="L72" i="1"/>
  <c r="AJ71" i="1"/>
  <c r="X71" i="1"/>
  <c r="L71" i="1"/>
  <c r="AJ70" i="1"/>
  <c r="X70" i="1"/>
  <c r="L70" i="1"/>
  <c r="AJ69" i="1"/>
  <c r="X69" i="1"/>
  <c r="L69" i="1"/>
  <c r="AJ68" i="1"/>
  <c r="X68" i="1"/>
  <c r="L68" i="1"/>
  <c r="AJ67" i="1"/>
  <c r="X67" i="1"/>
  <c r="L67" i="1"/>
  <c r="AJ66" i="1"/>
  <c r="X66" i="1"/>
  <c r="L66" i="1"/>
  <c r="AJ65" i="1"/>
  <c r="X65" i="1"/>
  <c r="L65" i="1"/>
  <c r="AJ64" i="1"/>
  <c r="X64" i="1"/>
  <c r="L64" i="1"/>
  <c r="AJ63" i="1"/>
  <c r="X63" i="1"/>
  <c r="L63" i="1"/>
  <c r="AJ62" i="1"/>
  <c r="X62" i="1"/>
  <c r="L62" i="1"/>
  <c r="AJ61" i="1"/>
  <c r="X61" i="1"/>
  <c r="L61" i="1"/>
  <c r="AJ60" i="1"/>
  <c r="X60" i="1"/>
  <c r="L60" i="1"/>
  <c r="AJ59" i="1"/>
  <c r="X59" i="1"/>
  <c r="L59" i="1"/>
  <c r="AJ58" i="1"/>
  <c r="X58" i="1"/>
  <c r="L58" i="1"/>
  <c r="AJ57" i="1"/>
  <c r="X57" i="1"/>
  <c r="L57" i="1"/>
  <c r="AJ56" i="1"/>
  <c r="X56" i="1"/>
  <c r="L56" i="1"/>
  <c r="AJ55" i="1"/>
  <c r="X55" i="1"/>
  <c r="L55" i="1"/>
  <c r="AJ54" i="1"/>
  <c r="X54" i="1"/>
  <c r="L54" i="1"/>
  <c r="AJ53" i="1"/>
  <c r="X53" i="1"/>
  <c r="L53" i="1"/>
  <c r="AJ52" i="1"/>
  <c r="X52" i="1"/>
  <c r="L52" i="1"/>
  <c r="AJ51" i="1"/>
  <c r="X51" i="1"/>
  <c r="L51" i="1"/>
  <c r="AJ50" i="1"/>
  <c r="X50" i="1"/>
  <c r="L50" i="1"/>
  <c r="AJ49" i="1"/>
  <c r="X49" i="1"/>
  <c r="L49" i="1"/>
  <c r="AJ48" i="1"/>
  <c r="X48" i="1"/>
  <c r="L48" i="1"/>
  <c r="AJ47" i="1"/>
  <c r="X47" i="1"/>
  <c r="L47" i="1"/>
  <c r="AJ46" i="1"/>
  <c r="X46" i="1"/>
  <c r="L46" i="1"/>
  <c r="AJ45" i="1"/>
  <c r="X45" i="1"/>
  <c r="L45" i="1"/>
  <c r="AJ44" i="1"/>
  <c r="X44" i="1"/>
  <c r="L44" i="1"/>
  <c r="AJ43" i="1"/>
  <c r="X43" i="1"/>
  <c r="L43" i="1"/>
  <c r="AJ42" i="1"/>
  <c r="X42" i="1"/>
  <c r="L42" i="1"/>
  <c r="AJ41" i="1"/>
  <c r="X41" i="1"/>
  <c r="L41" i="1"/>
  <c r="AJ40" i="1"/>
  <c r="X40" i="1"/>
  <c r="L40" i="1"/>
  <c r="AJ39" i="1"/>
  <c r="X39" i="1"/>
  <c r="L39" i="1"/>
  <c r="AJ38" i="1"/>
  <c r="X38" i="1"/>
  <c r="L38" i="1"/>
  <c r="AJ37" i="1"/>
  <c r="X37" i="1"/>
  <c r="L37" i="1"/>
  <c r="AJ36" i="1"/>
  <c r="X36" i="1"/>
  <c r="L36" i="1"/>
  <c r="AJ35" i="1"/>
  <c r="X35" i="1"/>
  <c r="L35" i="1"/>
  <c r="AJ34" i="1"/>
  <c r="X34" i="1"/>
  <c r="L34" i="1"/>
  <c r="AJ33" i="1"/>
  <c r="X33" i="1"/>
  <c r="L33" i="1"/>
  <c r="AJ32" i="1"/>
  <c r="X32" i="1"/>
  <c r="L32" i="1"/>
  <c r="AJ31" i="1"/>
  <c r="X31" i="1"/>
  <c r="L31" i="1"/>
  <c r="AJ30" i="1"/>
  <c r="X30" i="1"/>
  <c r="L30" i="1"/>
  <c r="AJ29" i="1"/>
  <c r="X29" i="1"/>
  <c r="L29" i="1"/>
  <c r="AJ28" i="1"/>
  <c r="X28" i="1"/>
  <c r="L28" i="1"/>
  <c r="AJ27" i="1"/>
  <c r="X27" i="1"/>
  <c r="L27" i="1"/>
  <c r="AJ26" i="1"/>
  <c r="X26" i="1"/>
  <c r="L26" i="1"/>
  <c r="AJ25" i="1"/>
  <c r="X25" i="1"/>
  <c r="L25" i="1"/>
  <c r="AJ24" i="1"/>
  <c r="X24" i="1"/>
  <c r="L24" i="1"/>
  <c r="AJ23" i="1"/>
  <c r="X23" i="1"/>
  <c r="L23" i="1"/>
  <c r="AJ22" i="1"/>
  <c r="X22" i="1"/>
  <c r="L22" i="1"/>
  <c r="AJ21" i="1"/>
  <c r="X21" i="1"/>
  <c r="L21" i="1"/>
  <c r="AJ20" i="1"/>
  <c r="X20" i="1"/>
  <c r="L20" i="1"/>
  <c r="AJ19" i="1"/>
  <c r="X19" i="1"/>
  <c r="L19" i="1"/>
  <c r="AJ18" i="1"/>
  <c r="X18" i="1"/>
  <c r="L18" i="1"/>
  <c r="AJ17" i="1"/>
  <c r="X17" i="1"/>
  <c r="L17" i="1"/>
  <c r="AJ16" i="1"/>
  <c r="X16" i="1"/>
  <c r="L16" i="1"/>
  <c r="AJ15" i="1"/>
  <c r="X15" i="1"/>
  <c r="L15" i="1"/>
  <c r="AJ14" i="1"/>
  <c r="X14" i="1"/>
  <c r="L14" i="1"/>
  <c r="AJ13" i="1"/>
  <c r="X13" i="1"/>
  <c r="L13" i="1"/>
  <c r="AJ12" i="1"/>
  <c r="X12" i="1"/>
  <c r="L12" i="1"/>
  <c r="AJ11" i="1"/>
  <c r="X11" i="1"/>
  <c r="L11" i="1"/>
  <c r="AJ10" i="1"/>
  <c r="X10" i="1"/>
  <c r="L10" i="1"/>
  <c r="AJ9" i="1"/>
  <c r="X9" i="1"/>
  <c r="L9" i="1"/>
  <c r="AJ8" i="1"/>
  <c r="X8" i="1"/>
  <c r="L8" i="1"/>
  <c r="AJ7" i="1"/>
  <c r="X7" i="1"/>
  <c r="L7" i="1"/>
  <c r="AJ6" i="1"/>
  <c r="X6" i="1"/>
  <c r="L6" i="1"/>
  <c r="AJ5" i="1"/>
  <c r="X5" i="1"/>
  <c r="L5" i="1"/>
  <c r="AJ4" i="1"/>
  <c r="X4" i="1"/>
  <c r="L4" i="1"/>
  <c r="AJ3" i="1"/>
  <c r="X3" i="1"/>
  <c r="L3" i="1"/>
  <c r="X2" i="1"/>
  <c r="L2" i="1"/>
</calcChain>
</file>

<file path=xl/sharedStrings.xml><?xml version="1.0" encoding="utf-8"?>
<sst xmlns="http://schemas.openxmlformats.org/spreadsheetml/2006/main" count="636" uniqueCount="98">
  <si>
    <t>Code</t>
  </si>
  <si>
    <t>prey</t>
  </si>
  <si>
    <t>letter</t>
  </si>
  <si>
    <t>CL</t>
  </si>
  <si>
    <t>Weight</t>
  </si>
  <si>
    <t>Alive</t>
  </si>
  <si>
    <t>Partial</t>
  </si>
  <si>
    <t>N</t>
  </si>
  <si>
    <t>A</t>
  </si>
  <si>
    <t>G</t>
  </si>
  <si>
    <t>E</t>
  </si>
  <si>
    <t>B</t>
  </si>
  <si>
    <t>C</t>
  </si>
  <si>
    <t>D</t>
  </si>
  <si>
    <t>G+1</t>
  </si>
  <si>
    <t>E+1</t>
  </si>
  <si>
    <t>N+1</t>
  </si>
  <si>
    <t>G+2</t>
  </si>
  <si>
    <t>E+2</t>
  </si>
  <si>
    <t>N+2</t>
  </si>
  <si>
    <t>G+3</t>
  </si>
  <si>
    <t>E+3</t>
  </si>
  <si>
    <t>N+3</t>
  </si>
  <si>
    <t>G+4</t>
  </si>
  <si>
    <t>E+4</t>
  </si>
  <si>
    <t>N+4</t>
  </si>
  <si>
    <t>G+5</t>
  </si>
  <si>
    <t>E+5</t>
  </si>
  <si>
    <t>N+5</t>
  </si>
  <si>
    <t>G+6</t>
  </si>
  <si>
    <t>E+6</t>
  </si>
  <si>
    <t>N+6</t>
  </si>
  <si>
    <t>G+7</t>
  </si>
  <si>
    <t>E+7</t>
  </si>
  <si>
    <t>N+7</t>
  </si>
  <si>
    <t>G+8</t>
  </si>
  <si>
    <t>E+8</t>
  </si>
  <si>
    <t>N+8</t>
  </si>
  <si>
    <t>G+9</t>
  </si>
  <si>
    <t>E+9</t>
  </si>
  <si>
    <t>N+9</t>
  </si>
  <si>
    <t>G+10</t>
  </si>
  <si>
    <t>E+10</t>
  </si>
  <si>
    <t>N+10</t>
  </si>
  <si>
    <t>G+11</t>
  </si>
  <si>
    <t>E+11</t>
  </si>
  <si>
    <t>N+11</t>
  </si>
  <si>
    <t>G+12</t>
  </si>
  <si>
    <t>E+12</t>
  </si>
  <si>
    <t>N+12</t>
  </si>
  <si>
    <t>G+13</t>
  </si>
  <si>
    <t>E+13</t>
  </si>
  <si>
    <t>N+13</t>
  </si>
  <si>
    <t>G+0</t>
  </si>
  <si>
    <t>E+0</t>
  </si>
  <si>
    <t>N+0</t>
  </si>
  <si>
    <t>G-1</t>
  </si>
  <si>
    <t>E-1</t>
  </si>
  <si>
    <t>N-1</t>
  </si>
  <si>
    <t>G-2</t>
  </si>
  <si>
    <t>E-2</t>
  </si>
  <si>
    <t>N-2</t>
  </si>
  <si>
    <t>G-3</t>
  </si>
  <si>
    <t>E-3</t>
  </si>
  <si>
    <t>N-3</t>
  </si>
  <si>
    <t>G-4</t>
  </si>
  <si>
    <t>E-4</t>
  </si>
  <si>
    <t>N-4</t>
  </si>
  <si>
    <t>G-5</t>
  </si>
  <si>
    <t>E-5</t>
  </si>
  <si>
    <t>N-5</t>
  </si>
  <si>
    <t>G-6</t>
  </si>
  <si>
    <t>E-6</t>
  </si>
  <si>
    <t>N-6</t>
  </si>
  <si>
    <t>G-7</t>
  </si>
  <si>
    <t>E-7</t>
  </si>
  <si>
    <t>N-7</t>
  </si>
  <si>
    <t>G-8</t>
  </si>
  <si>
    <t>E-8</t>
  </si>
  <si>
    <t>N-8</t>
  </si>
  <si>
    <t>G-9</t>
  </si>
  <si>
    <t>E-9</t>
  </si>
  <si>
    <t>N-9</t>
  </si>
  <si>
    <t>G-10</t>
  </si>
  <si>
    <t>E-10</t>
  </si>
  <si>
    <t>N-10</t>
  </si>
  <si>
    <t>G-11</t>
  </si>
  <si>
    <t>E-11</t>
  </si>
  <si>
    <t>N-11</t>
  </si>
  <si>
    <t>G-12</t>
  </si>
  <si>
    <t>E-12</t>
  </si>
  <si>
    <t>N-12</t>
  </si>
  <si>
    <t>G-13</t>
  </si>
  <si>
    <t>E-13</t>
  </si>
  <si>
    <t>N-13</t>
  </si>
  <si>
    <t>G-0</t>
  </si>
  <si>
    <t>E-0</t>
  </si>
  <si>
    <t>N-0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</si>
</sst>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m/d/yyyy"/>
    <numFmt numFmtId="165" formatCode="0.0"/>
  </numFmts>
  <fonts count="6" x14ac:knownFonts="1">
    <font>
      <sz val="11"/>
      <color theme="1"/>
      <name val="Calibri"/>
      <family val="2"/>
      <charset val="1"/>
    </font>
    <font>
      <b/>
      <sz val="11"/>
      <color theme="1"/>
      <name val="Calibri"/>
      <family val="2"/>
      <charset val="238"/>
    </font>
    <font>
      <sz val="11"/>
      <name val="Calibri"/>
      <family val="2"/>
      <charset val="1"/>
    </font>
    <font>
      <sz val="11"/>
      <name val="Calibri"/>
      <family val="2"/>
      <charset val="238"/>
    </font>
    <font>
      <sz val="11"/>
      <color theme="0"/>
      <name val="Calibri"/>
      <family val="2"/>
      <charset val="1"/>
    </font>
    <font>
      <b/>
      <sz val="11"/>
      <color theme="1"/>
      <name val="Calibri"/>
      <family val="2"/>
      <charset val="1"/>
    </font>
  </fonts>
  <fills count="7">
    <fill>
      <patternFill patternType="none"/>
    </fill>
    <fill>
      <patternFill patternType="gray125"/>
    </fill>
    <fill>
      <patternFill patternType="solid">
        <fgColor rgb="FFCCF4C6"/>
        <bgColor rgb="FFCCFFFF"/>
      </patternFill>
    </fill>
    <fill>
      <patternFill patternType="solid">
        <fgColor theme="2"/>
        <bgColor rgb="FFD9D9D9"/>
      </patternFill>
    </fill>
    <fill>
      <patternFill patternType="solid">
        <fgColor theme="0"/>
        <bgColor rgb="FFE7E6E6"/>
      </patternFill>
    </fill>
    <fill>
      <patternFill patternType="solid">
        <fgColor rgb="FFFFFF00"/>
        <bgColor rgb="FFFFFF00"/>
      </patternFill>
    </fill>
    <fill>
      <patternFill patternType="solid">
        <fgColor theme="1"/>
        <bgColor rgb="FF003300"/>
      </patternFill>
    </fill>
  </fills>
  <borders count="30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/>
      <right/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/>
      <right style="medium">
        <color auto="1"/>
      </right>
      <top/>
      <bottom/>
      <diagonal/>
    </border>
  </borders>
  <cellStyleXfs count="1">
    <xf numFmtId="0" fontId="0" fillId="0" borderId="0"/>
  </cellStyleXfs>
  <cellXfs count="102">
    <xf numFmtId="0" fontId="0" fillId="0" borderId="0" xfId="0"/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center"/>
    </xf>
    <xf numFmtId="0" fontId="1" fillId="5" borderId="0" xfId="0" applyFont="1" applyFill="1" applyAlignment="1">
      <alignment horizontal="left" wrapText="1"/>
    </xf>
    <xf numFmtId="0" fontId="1" fillId="0" borderId="0" xfId="0" applyFont="1" applyAlignment="1">
      <alignment horizontal="center"/>
    </xf>
    <xf numFmtId="0" fontId="0" fillId="0" borderId="0" xfId="0" applyAlignment="1">
      <alignment horizontal="left"/>
    </xf>
    <xf numFmtId="0" fontId="0" fillId="0" borderId="0" xfId="0" applyAlignment="1">
      <alignment horizontal="center"/>
    </xf>
    <xf numFmtId="0" fontId="0" fillId="2" borderId="0" xfId="0" applyFill="1" applyAlignment="1">
      <alignment horizontal="center"/>
    </xf>
    <xf numFmtId="0" fontId="1" fillId="0" borderId="1" xfId="0" applyFont="1" applyBorder="1" applyAlignment="1">
      <alignment horizontal="center"/>
    </xf>
    <xf numFmtId="0" fontId="1" fillId="0" borderId="2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9" fontId="1" fillId="0" borderId="4" xfId="0" applyNumberFormat="1" applyFont="1" applyBorder="1" applyAlignment="1">
      <alignment horizontal="center"/>
    </xf>
    <xf numFmtId="0" fontId="1" fillId="0" borderId="5" xfId="0" applyFont="1" applyBorder="1" applyAlignment="1">
      <alignment horizontal="center"/>
    </xf>
    <xf numFmtId="0" fontId="1" fillId="2" borderId="6" xfId="0" applyFont="1" applyFill="1" applyBorder="1" applyAlignment="1">
      <alignment horizontal="center"/>
    </xf>
    <xf numFmtId="0" fontId="0" fillId="3" borderId="7" xfId="0" applyFill="1" applyBorder="1" applyAlignment="1">
      <alignment horizontal="center"/>
    </xf>
    <xf numFmtId="0" fontId="0" fillId="3" borderId="8" xfId="0" applyFill="1" applyBorder="1" applyAlignment="1">
      <alignment horizontal="center"/>
    </xf>
    <xf numFmtId="0" fontId="0" fillId="3" borderId="9" xfId="0" applyFill="1" applyBorder="1" applyAlignment="1">
      <alignment horizontal="center"/>
    </xf>
    <xf numFmtId="0" fontId="0" fillId="3" borderId="10" xfId="0" applyFill="1" applyBorder="1" applyAlignment="1">
      <alignment horizontal="center"/>
    </xf>
    <xf numFmtId="0" fontId="0" fillId="2" borderId="11" xfId="0" applyFill="1" applyBorder="1" applyAlignment="1">
      <alignment horizontal="center"/>
    </xf>
    <xf numFmtId="0" fontId="0" fillId="3" borderId="12" xfId="0" applyFill="1" applyBorder="1" applyAlignment="1">
      <alignment horizontal="center"/>
    </xf>
    <xf numFmtId="0" fontId="0" fillId="3" borderId="13" xfId="0" applyFill="1" applyBorder="1" applyAlignment="1">
      <alignment horizontal="center"/>
    </xf>
    <xf numFmtId="0" fontId="0" fillId="3" borderId="14" xfId="0" applyFill="1" applyBorder="1" applyAlignment="1">
      <alignment horizontal="center"/>
    </xf>
    <xf numFmtId="0" fontId="2" fillId="3" borderId="15" xfId="0" applyFont="1" applyFill="1" applyBorder="1" applyAlignment="1">
      <alignment horizontal="center"/>
    </xf>
    <xf numFmtId="0" fontId="2" fillId="3" borderId="13" xfId="0" applyFont="1" applyFill="1" applyBorder="1" applyAlignment="1">
      <alignment horizontal="center"/>
    </xf>
    <xf numFmtId="0" fontId="0" fillId="3" borderId="16" xfId="0" applyFill="1" applyBorder="1" applyAlignment="1">
      <alignment horizontal="center"/>
    </xf>
    <xf numFmtId="0" fontId="0" fillId="3" borderId="17" xfId="0" applyFill="1" applyBorder="1" applyAlignment="1">
      <alignment horizontal="center"/>
    </xf>
    <xf numFmtId="0" fontId="0" fillId="3" borderId="18" xfId="0" applyFill="1" applyBorder="1" applyAlignment="1">
      <alignment horizontal="center"/>
    </xf>
    <xf numFmtId="0" fontId="0" fillId="3" borderId="19" xfId="0" applyFill="1" applyBorder="1" applyAlignment="1">
      <alignment horizontal="center"/>
    </xf>
    <xf numFmtId="0" fontId="2" fillId="3" borderId="19" xfId="0" applyFont="1" applyFill="1" applyBorder="1" applyAlignment="1">
      <alignment horizontal="center"/>
    </xf>
    <xf numFmtId="0" fontId="2" fillId="3" borderId="17" xfId="0" applyFont="1" applyFill="1" applyBorder="1" applyAlignment="1">
      <alignment horizontal="center"/>
    </xf>
    <xf numFmtId="17" fontId="0" fillId="3" borderId="17" xfId="0" applyNumberFormat="1" applyFill="1" applyBorder="1" applyAlignment="1">
      <alignment horizontal="center"/>
    </xf>
    <xf numFmtId="0" fontId="0" fillId="3" borderId="20" xfId="0" applyFill="1" applyBorder="1" applyAlignment="1">
      <alignment horizontal="center"/>
    </xf>
    <xf numFmtId="0" fontId="0" fillId="3" borderId="4" xfId="0" applyFill="1" applyBorder="1" applyAlignment="1">
      <alignment horizontal="center"/>
    </xf>
    <xf numFmtId="0" fontId="0" fillId="3" borderId="5" xfId="0" applyFill="1" applyBorder="1" applyAlignment="1">
      <alignment horizontal="center"/>
    </xf>
    <xf numFmtId="0" fontId="0" fillId="3" borderId="21" xfId="0" applyFill="1" applyBorder="1" applyAlignment="1">
      <alignment horizontal="center"/>
    </xf>
    <xf numFmtId="0" fontId="0" fillId="3" borderId="22" xfId="0" applyFill="1" applyBorder="1" applyAlignment="1">
      <alignment horizontal="center"/>
    </xf>
    <xf numFmtId="0" fontId="0" fillId="3" borderId="23" xfId="0" applyFill="1" applyBorder="1" applyAlignment="1">
      <alignment horizontal="center"/>
    </xf>
    <xf numFmtId="0" fontId="0" fillId="3" borderId="24" xfId="0" applyFill="1" applyBorder="1" applyAlignment="1">
      <alignment horizontal="center"/>
    </xf>
    <xf numFmtId="0" fontId="0" fillId="3" borderId="25" xfId="0" applyFill="1" applyBorder="1" applyAlignment="1">
      <alignment horizontal="center"/>
    </xf>
    <xf numFmtId="0" fontId="0" fillId="0" borderId="12" xfId="0" applyBorder="1" applyAlignment="1">
      <alignment horizontal="center"/>
    </xf>
    <xf numFmtId="0" fontId="0" fillId="0" borderId="13" xfId="0" applyBorder="1" applyAlignment="1">
      <alignment horizontal="center"/>
    </xf>
    <xf numFmtId="0" fontId="0" fillId="0" borderId="14" xfId="0" applyBorder="1" applyAlignment="1">
      <alignment horizontal="center"/>
    </xf>
    <xf numFmtId="0" fontId="3" fillId="0" borderId="15" xfId="0" applyFont="1" applyBorder="1" applyAlignment="1">
      <alignment horizontal="center"/>
    </xf>
    <xf numFmtId="0" fontId="3" fillId="0" borderId="13" xfId="0" applyFont="1" applyBorder="1" applyAlignment="1">
      <alignment horizontal="center"/>
    </xf>
    <xf numFmtId="0" fontId="0" fillId="0" borderId="15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16" xfId="0" applyBorder="1" applyAlignment="1">
      <alignment horizontal="center"/>
    </xf>
    <xf numFmtId="0" fontId="0" fillId="0" borderId="17" xfId="0" applyBorder="1" applyAlignment="1">
      <alignment horizontal="center"/>
    </xf>
    <xf numFmtId="0" fontId="0" fillId="0" borderId="18" xfId="0" applyBorder="1" applyAlignment="1">
      <alignment horizontal="center"/>
    </xf>
    <xf numFmtId="0" fontId="0" fillId="0" borderId="19" xfId="0" applyBorder="1" applyAlignment="1">
      <alignment horizontal="center"/>
    </xf>
    <xf numFmtId="0" fontId="0" fillId="0" borderId="25" xfId="0" applyBorder="1" applyAlignment="1">
      <alignment horizontal="center"/>
    </xf>
    <xf numFmtId="0" fontId="0" fillId="0" borderId="23" xfId="0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6" xfId="0" applyBorder="1" applyAlignment="1">
      <alignment horizontal="center"/>
    </xf>
    <xf numFmtId="0" fontId="2" fillId="0" borderId="17" xfId="0" applyFont="1" applyBorder="1" applyAlignment="1">
      <alignment horizontal="center"/>
    </xf>
    <xf numFmtId="0" fontId="4" fillId="0" borderId="17" xfId="0" applyFont="1" applyBorder="1" applyAlignment="1">
      <alignment horizontal="center"/>
    </xf>
    <xf numFmtId="0" fontId="4" fillId="0" borderId="18" xfId="0" applyFont="1" applyBorder="1" applyAlignment="1">
      <alignment horizontal="center"/>
    </xf>
    <xf numFmtId="0" fontId="0" fillId="0" borderId="20" xfId="0" applyBorder="1" applyAlignment="1">
      <alignment horizontal="center"/>
    </xf>
    <xf numFmtId="0" fontId="0" fillId="0" borderId="4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21" xfId="0" applyBorder="1" applyAlignment="1">
      <alignment horizontal="center"/>
    </xf>
    <xf numFmtId="0" fontId="0" fillId="3" borderId="27" xfId="0" applyFill="1" applyBorder="1" applyAlignment="1">
      <alignment horizontal="center"/>
    </xf>
    <xf numFmtId="0" fontId="0" fillId="0" borderId="28" xfId="0" applyBorder="1" applyAlignment="1">
      <alignment horizontal="center"/>
    </xf>
    <xf numFmtId="0" fontId="0" fillId="3" borderId="15" xfId="0" applyFill="1" applyBorder="1" applyAlignment="1">
      <alignment horizontal="center"/>
    </xf>
    <xf numFmtId="0" fontId="0" fillId="3" borderId="28" xfId="0" applyFill="1" applyBorder="1" applyAlignment="1">
      <alignment horizontal="center"/>
    </xf>
    <xf numFmtId="0" fontId="0" fillId="4" borderId="12" xfId="0" applyFill="1" applyBorder="1" applyAlignment="1">
      <alignment horizontal="center"/>
    </xf>
    <xf numFmtId="0" fontId="0" fillId="4" borderId="13" xfId="0" applyFill="1" applyBorder="1" applyAlignment="1">
      <alignment horizontal="center"/>
    </xf>
    <xf numFmtId="0" fontId="0" fillId="4" borderId="14" xfId="0" applyFill="1" applyBorder="1" applyAlignment="1">
      <alignment horizontal="center"/>
    </xf>
    <xf numFmtId="0" fontId="0" fillId="4" borderId="15" xfId="0" applyFill="1" applyBorder="1" applyAlignment="1">
      <alignment horizontal="center"/>
    </xf>
    <xf numFmtId="0" fontId="0" fillId="4" borderId="7" xfId="0" applyFill="1" applyBorder="1" applyAlignment="1">
      <alignment horizontal="center"/>
    </xf>
    <xf numFmtId="0" fontId="0" fillId="4" borderId="17" xfId="0" applyFill="1" applyBorder="1" applyAlignment="1">
      <alignment horizontal="center"/>
    </xf>
    <xf numFmtId="0" fontId="0" fillId="4" borderId="18" xfId="0" applyFill="1" applyBorder="1" applyAlignment="1">
      <alignment horizontal="center"/>
    </xf>
    <xf numFmtId="0" fontId="0" fillId="4" borderId="19" xfId="0" applyFill="1" applyBorder="1" applyAlignment="1">
      <alignment horizontal="center"/>
    </xf>
    <xf numFmtId="0" fontId="0" fillId="4" borderId="27" xfId="0" applyFill="1" applyBorder="1" applyAlignment="1">
      <alignment horizontal="center"/>
    </xf>
    <xf numFmtId="0" fontId="0" fillId="4" borderId="4" xfId="0" applyFill="1" applyBorder="1" applyAlignment="1">
      <alignment horizontal="center"/>
    </xf>
    <xf numFmtId="0" fontId="0" fillId="4" borderId="5" xfId="0" applyFill="1" applyBorder="1" applyAlignment="1">
      <alignment horizontal="center"/>
    </xf>
    <xf numFmtId="0" fontId="0" fillId="4" borderId="21" xfId="0" applyFill="1" applyBorder="1" applyAlignment="1">
      <alignment horizontal="center"/>
    </xf>
    <xf numFmtId="2" fontId="0" fillId="4" borderId="19" xfId="0" applyNumberFormat="1" applyFill="1" applyBorder="1" applyAlignment="1">
      <alignment horizontal="center"/>
    </xf>
    <xf numFmtId="0" fontId="0" fillId="4" borderId="16" xfId="0" applyFill="1" applyBorder="1" applyAlignment="1">
      <alignment horizontal="center"/>
    </xf>
    <xf numFmtId="0" fontId="2" fillId="4" borderId="19" xfId="0" applyFont="1" applyFill="1" applyBorder="1" applyAlignment="1">
      <alignment horizontal="center"/>
    </xf>
    <xf numFmtId="0" fontId="2" fillId="4" borderId="17" xfId="0" applyFont="1" applyFill="1" applyBorder="1" applyAlignment="1">
      <alignment horizontal="center"/>
    </xf>
    <xf numFmtId="17" fontId="0" fillId="4" borderId="17" xfId="0" applyNumberFormat="1" applyFill="1" applyBorder="1" applyAlignment="1">
      <alignment horizontal="center"/>
    </xf>
    <xf numFmtId="0" fontId="0" fillId="4" borderId="20" xfId="0" applyFill="1" applyBorder="1" applyAlignment="1">
      <alignment horizontal="center"/>
    </xf>
    <xf numFmtId="0" fontId="0" fillId="4" borderId="22" xfId="0" applyFill="1" applyBorder="1" applyAlignment="1">
      <alignment horizontal="center"/>
    </xf>
    <xf numFmtId="0" fontId="0" fillId="4" borderId="24" xfId="0" applyFill="1" applyBorder="1" applyAlignment="1">
      <alignment horizontal="center"/>
    </xf>
    <xf numFmtId="0" fontId="0" fillId="4" borderId="25" xfId="0" applyFill="1" applyBorder="1" applyAlignment="1">
      <alignment horizontal="center"/>
    </xf>
    <xf numFmtId="0" fontId="0" fillId="4" borderId="23" xfId="0" applyFill="1" applyBorder="1" applyAlignment="1">
      <alignment horizontal="center"/>
    </xf>
    <xf numFmtId="0" fontId="0" fillId="4" borderId="28" xfId="0" applyFill="1" applyBorder="1" applyAlignment="1">
      <alignment horizontal="center"/>
    </xf>
    <xf numFmtId="0" fontId="3" fillId="3" borderId="15" xfId="0" applyFont="1" applyFill="1" applyBorder="1" applyAlignment="1">
      <alignment horizontal="center"/>
    </xf>
    <xf numFmtId="0" fontId="3" fillId="3" borderId="13" xfId="0" applyFont="1" applyFill="1" applyBorder="1" applyAlignment="1">
      <alignment horizontal="center"/>
    </xf>
    <xf numFmtId="0" fontId="0" fillId="2" borderId="0" xfId="0" applyFill="1" applyAlignment="1">
      <alignment horizontal="left"/>
    </xf>
    <xf numFmtId="0" fontId="0" fillId="0" borderId="0" xfId="0" applyAlignment="1">
      <alignment horizontal="left"/>
    </xf>
    <xf numFmtId="0" fontId="3" fillId="4" borderId="17" xfId="0" applyFont="1" applyFill="1" applyBorder="1" applyAlignment="1">
      <alignment horizontal="center"/>
    </xf>
    <xf numFmtId="165" fontId="0" fillId="0" borderId="0" xfId="0" applyNumberFormat="1" applyAlignment="1">
      <alignment horizontal="center"/>
    </xf>
    <xf numFmtId="0" fontId="0" fillId="5" borderId="0" xfId="0" applyFill="1"/>
    <xf numFmtId="0" fontId="0" fillId="6" borderId="0" xfId="0" applyFill="1"/>
    <xf numFmtId="0" fontId="5" fillId="0" borderId="0" xfId="0" applyFont="1"/>
    <xf numFmtId="0" fontId="0" fillId="0" borderId="29" xfId="0" applyBorder="1"/>
    <xf numFmtId="0" fontId="5" fillId="0" borderId="11" xfId="0" applyFont="1" applyBorder="1"/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5B9BD5"/>
      <rgbColor rgb="FF993366"/>
      <rgbColor rgb="FFE7E6E6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4C6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J98"/>
  <sheetViews>
    <sheetView zoomScale="80" zoomScaleNormal="80" workbookViewId="0">
      <selection activeCell="R1" sqref="R1:R1048576"/>
    </sheetView>
  </sheetViews>
  <sheetFormatPr defaultColWidth="8.7109375" defaultRowHeight="15" x14ac:dyDescent="0.25"/>
  <cols>
    <col min="1" max="1" width="2.140625" style="6" customWidth="1"/>
    <col min="2" max="2" width="3" style="6" customWidth="1"/>
    <col min="3" max="3" width="2.140625" style="6" customWidth="1"/>
    <col min="4" max="4" width="8" style="6" customWidth="1"/>
    <col min="5" max="5" width="9.42578125" style="6" customWidth="1"/>
    <col min="6" max="6" width="6.5703125" style="6" customWidth="1"/>
    <col min="7" max="10" width="7.140625" style="6" customWidth="1"/>
    <col min="11" max="11" width="12.85546875" style="6" customWidth="1"/>
    <col min="12" max="12" width="6.42578125" style="7" customWidth="1"/>
    <col min="13" max="13" width="6.140625" style="6" customWidth="1"/>
    <col min="14" max="14" width="6.85546875" style="6" customWidth="1"/>
    <col min="15" max="15" width="8.7109375" style="6" customWidth="1"/>
    <col min="16" max="16" width="8" style="6" customWidth="1"/>
    <col min="17" max="18" width="5.7109375" style="6" customWidth="1"/>
    <col min="19" max="22" width="8.7109375" style="6"/>
    <col min="23" max="23" width="12.85546875" style="6" customWidth="1"/>
    <col min="24" max="24" width="4.28515625" style="7" customWidth="1"/>
    <col min="25" max="25" width="2.140625" style="6" customWidth="1"/>
    <col min="26" max="26" width="3.140625" style="6" customWidth="1"/>
    <col min="27" max="27" width="2.140625" style="6" customWidth="1"/>
    <col min="28" max="29" width="8.7109375" style="6"/>
    <col min="30" max="30" width="5.85546875" style="6" customWidth="1"/>
    <col min="31" max="34" width="7.5703125" style="6" customWidth="1"/>
    <col min="35" max="35" width="12.85546875" style="6" customWidth="1"/>
    <col min="36" max="16384" width="8.7109375" style="6"/>
  </cols>
  <sheetData>
    <row r="1" spans="1:36" ht="15.75" thickBot="1" x14ac:dyDescent="0.3">
      <c r="A1" s="8" t="s">
        <v>0</v>
      </c>
      <c r="B1" s="8" t="s">
        <v>1</v>
      </c>
      <c r="C1" s="8" t="s">
        <v>2</v>
      </c>
      <c r="D1" s="9" t="s">
        <v>3</v>
      </c>
      <c r="E1" s="10" t="s">
        <v>4</v>
      </c>
      <c r="F1" s="10" t="s">
        <v>5</v>
      </c>
      <c r="G1" s="11">
        <v>1</v>
      </c>
      <c r="H1" s="11">
        <v>0.75</v>
      </c>
      <c r="I1" s="11">
        <v>0.5</v>
      </c>
      <c r="J1" s="11">
        <v>0.25</v>
      </c>
      <c r="K1" s="12">
        <v>0</v>
      </c>
      <c r="L1" s="13" t="s">
        <v>6</v>
      </c>
      <c r="M1" s="8" t="s">
        <v>0</v>
      </c>
      <c r="N1" s="8" t="s">
        <v>1</v>
      </c>
      <c r="O1" s="8" t="s">
        <v>2</v>
      </c>
      <c r="P1" s="9" t="s">
        <v>3</v>
      </c>
      <c r="Q1" s="10" t="s">
        <v>4</v>
      </c>
      <c r="R1" s="10" t="s">
        <v>5</v>
      </c>
      <c r="S1" s="11">
        <v>1</v>
      </c>
      <c r="T1" s="11">
        <v>0.75</v>
      </c>
      <c r="U1" s="11">
        <v>0.5</v>
      </c>
      <c r="V1" s="11">
        <v>0.25</v>
      </c>
      <c r="W1" s="12">
        <v>0</v>
      </c>
      <c r="X1" s="13" t="s">
        <v>6</v>
      </c>
      <c r="Y1" s="8" t="s">
        <v>0</v>
      </c>
      <c r="Z1" s="8" t="s">
        <v>1</v>
      </c>
      <c r="AA1" s="8" t="s">
        <v>2</v>
      </c>
      <c r="AB1" s="9" t="s">
        <v>3</v>
      </c>
      <c r="AC1" s="10" t="s">
        <v>4</v>
      </c>
      <c r="AD1" s="10" t="s">
        <v>5</v>
      </c>
      <c r="AE1" s="11">
        <v>1</v>
      </c>
      <c r="AF1" s="11">
        <v>0.75</v>
      </c>
      <c r="AG1" s="11">
        <v>0.5</v>
      </c>
      <c r="AH1" s="11">
        <v>0.25</v>
      </c>
      <c r="AI1" s="12">
        <v>0</v>
      </c>
      <c r="AJ1" s="13" t="s">
        <v>6</v>
      </c>
    </row>
    <row r="2" spans="1:36" x14ac:dyDescent="0.25">
      <c r="A2" s="14" t="s">
        <v>7</v>
      </c>
      <c r="B2" s="15">
        <v>1</v>
      </c>
      <c r="C2" s="16" t="s">
        <v>8</v>
      </c>
      <c r="D2" s="17">
        <v>16.3</v>
      </c>
      <c r="E2" s="15">
        <v>1.05</v>
      </c>
      <c r="F2" s="15">
        <v>0</v>
      </c>
      <c r="G2" s="15">
        <v>1</v>
      </c>
      <c r="H2" s="15"/>
      <c r="I2" s="15"/>
      <c r="J2" s="15"/>
      <c r="K2" s="16"/>
      <c r="L2" s="18">
        <f t="shared" ref="L2:L33" si="0">SUM(H2:K2)</f>
        <v>0</v>
      </c>
      <c r="M2" s="14" t="s">
        <v>9</v>
      </c>
      <c r="N2" s="15">
        <v>1</v>
      </c>
      <c r="O2" s="16" t="s">
        <v>8</v>
      </c>
      <c r="P2" s="17">
        <v>17.899999999999999</v>
      </c>
      <c r="Q2" s="15">
        <v>1.27</v>
      </c>
      <c r="R2" s="15">
        <v>0</v>
      </c>
      <c r="S2" s="15">
        <v>1</v>
      </c>
      <c r="T2" s="15"/>
      <c r="U2" s="15"/>
      <c r="V2" s="15"/>
      <c r="W2" s="16"/>
      <c r="X2" s="18">
        <f t="shared" ref="X2:X33" si="1">SUM(T2:W2)</f>
        <v>0</v>
      </c>
      <c r="Y2" s="19" t="s">
        <v>10</v>
      </c>
      <c r="Z2" s="20">
        <v>1</v>
      </c>
      <c r="AA2" s="21" t="s">
        <v>8</v>
      </c>
      <c r="AB2" s="22">
        <v>16.2</v>
      </c>
      <c r="AC2" s="23">
        <v>1.25</v>
      </c>
      <c r="AD2" s="20">
        <v>0</v>
      </c>
      <c r="AE2" s="20">
        <v>1</v>
      </c>
      <c r="AF2" s="20"/>
      <c r="AG2" s="20"/>
      <c r="AH2" s="20"/>
      <c r="AI2" s="21"/>
      <c r="AJ2" s="18">
        <f>SUM(AF2:AI2)</f>
        <v>0</v>
      </c>
    </row>
    <row r="3" spans="1:36" x14ac:dyDescent="0.25">
      <c r="A3" s="24" t="s">
        <v>7</v>
      </c>
      <c r="B3" s="25">
        <v>1</v>
      </c>
      <c r="C3" s="26" t="s">
        <v>11</v>
      </c>
      <c r="D3" s="27">
        <v>17.100000000000001</v>
      </c>
      <c r="E3" s="25">
        <v>1.1499999999999999</v>
      </c>
      <c r="F3" s="25">
        <v>0</v>
      </c>
      <c r="G3" s="25">
        <v>1</v>
      </c>
      <c r="H3" s="25"/>
      <c r="I3" s="25"/>
      <c r="J3" s="25"/>
      <c r="K3" s="26"/>
      <c r="L3" s="18">
        <f t="shared" si="0"/>
        <v>0</v>
      </c>
      <c r="M3" s="14" t="s">
        <v>9</v>
      </c>
      <c r="N3" s="25">
        <v>1</v>
      </c>
      <c r="O3" s="26" t="s">
        <v>11</v>
      </c>
      <c r="P3" s="28">
        <v>18.100000000000001</v>
      </c>
      <c r="Q3" s="29">
        <v>1.51</v>
      </c>
      <c r="R3" s="25">
        <v>0</v>
      </c>
      <c r="S3" s="25">
        <v>1</v>
      </c>
      <c r="T3" s="25"/>
      <c r="U3" s="25"/>
      <c r="V3" s="25"/>
      <c r="W3" s="26"/>
      <c r="X3" s="18">
        <f t="shared" si="1"/>
        <v>0</v>
      </c>
      <c r="Y3" s="24" t="s">
        <v>10</v>
      </c>
      <c r="Z3" s="25">
        <v>1</v>
      </c>
      <c r="AA3" s="26" t="s">
        <v>11</v>
      </c>
      <c r="AB3" s="27">
        <v>19.600000000000001</v>
      </c>
      <c r="AC3" s="25">
        <v>1.7</v>
      </c>
      <c r="AD3" s="25">
        <v>0</v>
      </c>
      <c r="AE3" s="25">
        <v>1</v>
      </c>
      <c r="AF3" s="25"/>
      <c r="AG3" s="25"/>
      <c r="AH3" s="25"/>
      <c r="AI3" s="26"/>
      <c r="AJ3" s="18">
        <f t="shared" ref="AJ3:AJ33" si="2">SUM(AF3:AI3)</f>
        <v>0</v>
      </c>
    </row>
    <row r="4" spans="1:36" x14ac:dyDescent="0.25">
      <c r="A4" s="24" t="s">
        <v>7</v>
      </c>
      <c r="B4" s="25">
        <v>1</v>
      </c>
      <c r="C4" s="26" t="s">
        <v>12</v>
      </c>
      <c r="D4" s="27">
        <v>18</v>
      </c>
      <c r="E4" s="30">
        <v>45292</v>
      </c>
      <c r="F4" s="25">
        <v>0</v>
      </c>
      <c r="G4" s="25">
        <v>1</v>
      </c>
      <c r="H4" s="25"/>
      <c r="I4" s="25"/>
      <c r="J4" s="25"/>
      <c r="K4" s="26"/>
      <c r="L4" s="18">
        <f t="shared" si="0"/>
        <v>0</v>
      </c>
      <c r="M4" s="14" t="s">
        <v>9</v>
      </c>
      <c r="N4" s="25">
        <v>1</v>
      </c>
      <c r="O4" s="26" t="s">
        <v>12</v>
      </c>
      <c r="P4" s="27">
        <v>16.600000000000001</v>
      </c>
      <c r="Q4" s="25">
        <v>1.42</v>
      </c>
      <c r="R4" s="25">
        <v>1</v>
      </c>
      <c r="S4" s="25">
        <v>0</v>
      </c>
      <c r="T4" s="25"/>
      <c r="U4" s="25"/>
      <c r="V4" s="25"/>
      <c r="W4" s="26"/>
      <c r="X4" s="18">
        <f t="shared" si="1"/>
        <v>0</v>
      </c>
      <c r="Y4" s="24" t="s">
        <v>10</v>
      </c>
      <c r="Z4" s="25">
        <v>1</v>
      </c>
      <c r="AA4" s="26" t="s">
        <v>12</v>
      </c>
      <c r="AB4" s="27">
        <v>16.7</v>
      </c>
      <c r="AC4" s="25">
        <v>1.22</v>
      </c>
      <c r="AD4" s="25">
        <v>1</v>
      </c>
      <c r="AE4" s="25">
        <v>0</v>
      </c>
      <c r="AF4" s="25"/>
      <c r="AG4" s="25"/>
      <c r="AH4" s="25"/>
      <c r="AI4" s="26"/>
      <c r="AJ4" s="18">
        <f t="shared" si="2"/>
        <v>0</v>
      </c>
    </row>
    <row r="5" spans="1:36" x14ac:dyDescent="0.25">
      <c r="A5" s="24" t="s">
        <v>7</v>
      </c>
      <c r="B5" s="25">
        <v>1</v>
      </c>
      <c r="C5" s="26" t="s">
        <v>13</v>
      </c>
      <c r="D5" s="27">
        <v>17.5</v>
      </c>
      <c r="E5" s="25">
        <v>1.23</v>
      </c>
      <c r="F5" s="25">
        <v>1</v>
      </c>
      <c r="G5" s="25">
        <v>0</v>
      </c>
      <c r="H5" s="25"/>
      <c r="I5" s="25"/>
      <c r="J5" s="25"/>
      <c r="K5" s="26"/>
      <c r="L5" s="18">
        <f t="shared" si="0"/>
        <v>0</v>
      </c>
      <c r="M5" s="14" t="s">
        <v>9</v>
      </c>
      <c r="N5" s="25">
        <v>1</v>
      </c>
      <c r="O5" s="26" t="s">
        <v>13</v>
      </c>
      <c r="P5" s="27">
        <v>17</v>
      </c>
      <c r="Q5" s="25">
        <v>1.1499999999999999</v>
      </c>
      <c r="R5" s="25">
        <v>0</v>
      </c>
      <c r="S5" s="25">
        <v>1</v>
      </c>
      <c r="T5" s="25"/>
      <c r="U5" s="25"/>
      <c r="V5" s="25"/>
      <c r="W5" s="26"/>
      <c r="X5" s="18">
        <f t="shared" si="1"/>
        <v>0</v>
      </c>
      <c r="Y5" s="24" t="s">
        <v>10</v>
      </c>
      <c r="Z5" s="25">
        <v>1</v>
      </c>
      <c r="AA5" s="26" t="s">
        <v>13</v>
      </c>
      <c r="AB5" s="27">
        <v>16.5</v>
      </c>
      <c r="AC5" s="27">
        <v>1.1299999999999999</v>
      </c>
      <c r="AD5" s="25">
        <v>1</v>
      </c>
      <c r="AE5" s="25">
        <v>0</v>
      </c>
      <c r="AF5" s="25"/>
      <c r="AG5" s="25"/>
      <c r="AH5" s="25"/>
      <c r="AI5" s="26"/>
      <c r="AJ5" s="18">
        <f t="shared" si="2"/>
        <v>0</v>
      </c>
    </row>
    <row r="6" spans="1:36" x14ac:dyDescent="0.25">
      <c r="A6" s="24" t="s">
        <v>7</v>
      </c>
      <c r="B6" s="25">
        <v>1</v>
      </c>
      <c r="C6" s="26" t="s">
        <v>8</v>
      </c>
      <c r="D6" s="27">
        <v>18.2</v>
      </c>
      <c r="E6" s="25">
        <v>1.45</v>
      </c>
      <c r="F6" s="25">
        <v>0</v>
      </c>
      <c r="G6" s="25">
        <v>1</v>
      </c>
      <c r="H6" s="25"/>
      <c r="I6" s="25"/>
      <c r="J6" s="25"/>
      <c r="K6" s="26"/>
      <c r="L6" s="18">
        <f t="shared" si="0"/>
        <v>0</v>
      </c>
      <c r="M6" s="14" t="s">
        <v>9</v>
      </c>
      <c r="N6" s="25">
        <v>1</v>
      </c>
      <c r="O6" s="26" t="s">
        <v>8</v>
      </c>
      <c r="P6" s="27">
        <v>18</v>
      </c>
      <c r="Q6" s="25">
        <v>1.54</v>
      </c>
      <c r="R6" s="25">
        <v>0</v>
      </c>
      <c r="S6" s="25">
        <v>1</v>
      </c>
      <c r="T6" s="25"/>
      <c r="U6" s="25"/>
      <c r="V6" s="25"/>
      <c r="W6" s="26"/>
      <c r="X6" s="18">
        <f t="shared" si="1"/>
        <v>0</v>
      </c>
      <c r="Y6" s="24" t="s">
        <v>10</v>
      </c>
      <c r="Z6" s="25">
        <v>1</v>
      </c>
      <c r="AA6" s="26" t="s">
        <v>8</v>
      </c>
      <c r="AB6" s="27">
        <v>17</v>
      </c>
      <c r="AC6" s="25">
        <v>1.33</v>
      </c>
      <c r="AD6" s="25">
        <v>0</v>
      </c>
      <c r="AE6" s="25">
        <v>1</v>
      </c>
      <c r="AF6" s="25"/>
      <c r="AG6" s="25"/>
      <c r="AH6" s="25"/>
      <c r="AI6" s="26"/>
      <c r="AJ6" s="18">
        <f t="shared" si="2"/>
        <v>0</v>
      </c>
    </row>
    <row r="7" spans="1:36" x14ac:dyDescent="0.25">
      <c r="A7" s="24" t="s">
        <v>7</v>
      </c>
      <c r="B7" s="25">
        <v>1</v>
      </c>
      <c r="C7" s="26" t="s">
        <v>11</v>
      </c>
      <c r="D7" s="27">
        <v>19.8</v>
      </c>
      <c r="E7" s="25">
        <v>1.63</v>
      </c>
      <c r="F7" s="25">
        <v>0</v>
      </c>
      <c r="G7" s="25">
        <v>1</v>
      </c>
      <c r="H7" s="25"/>
      <c r="I7" s="25"/>
      <c r="J7" s="25"/>
      <c r="K7" s="26"/>
      <c r="L7" s="18">
        <f t="shared" si="0"/>
        <v>0</v>
      </c>
      <c r="M7" s="14" t="s">
        <v>9</v>
      </c>
      <c r="N7" s="25">
        <v>1</v>
      </c>
      <c r="O7" s="26" t="s">
        <v>11</v>
      </c>
      <c r="P7" s="27">
        <v>17.899999999999999</v>
      </c>
      <c r="Q7" s="25">
        <v>1.44</v>
      </c>
      <c r="R7" s="25">
        <v>0</v>
      </c>
      <c r="S7" s="25">
        <v>1</v>
      </c>
      <c r="T7" s="25"/>
      <c r="U7" s="25"/>
      <c r="V7" s="25"/>
      <c r="W7" s="26"/>
      <c r="X7" s="18">
        <f t="shared" si="1"/>
        <v>0</v>
      </c>
      <c r="Y7" s="24" t="s">
        <v>10</v>
      </c>
      <c r="Z7" s="25">
        <v>1</v>
      </c>
      <c r="AA7" s="26" t="s">
        <v>11</v>
      </c>
      <c r="AB7" s="27">
        <v>16</v>
      </c>
      <c r="AC7" s="25">
        <v>1.02</v>
      </c>
      <c r="AD7" s="25">
        <v>0</v>
      </c>
      <c r="AE7" s="25">
        <v>1</v>
      </c>
      <c r="AF7" s="25"/>
      <c r="AG7" s="25"/>
      <c r="AH7" s="25"/>
      <c r="AI7" s="26"/>
      <c r="AJ7" s="18">
        <f t="shared" si="2"/>
        <v>0</v>
      </c>
    </row>
    <row r="8" spans="1:36" x14ac:dyDescent="0.25">
      <c r="A8" s="24" t="s">
        <v>7</v>
      </c>
      <c r="B8" s="25">
        <v>1</v>
      </c>
      <c r="C8" s="26" t="s">
        <v>12</v>
      </c>
      <c r="D8" s="27">
        <v>20.2</v>
      </c>
      <c r="E8" s="25">
        <v>1.64</v>
      </c>
      <c r="F8" s="25">
        <v>0</v>
      </c>
      <c r="G8" s="25">
        <v>1</v>
      </c>
      <c r="H8" s="25"/>
      <c r="I8" s="25"/>
      <c r="J8" s="25"/>
      <c r="K8" s="26"/>
      <c r="L8" s="18">
        <f t="shared" si="0"/>
        <v>0</v>
      </c>
      <c r="M8" s="14" t="s">
        <v>9</v>
      </c>
      <c r="N8" s="25">
        <v>1</v>
      </c>
      <c r="O8" s="26" t="s">
        <v>12</v>
      </c>
      <c r="P8" s="27">
        <v>19.7</v>
      </c>
      <c r="Q8" s="25">
        <v>1.61</v>
      </c>
      <c r="R8" s="25">
        <v>0</v>
      </c>
      <c r="S8" s="25">
        <v>1</v>
      </c>
      <c r="T8" s="25"/>
      <c r="U8" s="25"/>
      <c r="V8" s="25"/>
      <c r="W8" s="26"/>
      <c r="X8" s="18">
        <f t="shared" si="1"/>
        <v>0</v>
      </c>
      <c r="Y8" s="24" t="s">
        <v>10</v>
      </c>
      <c r="Z8" s="25">
        <v>1</v>
      </c>
      <c r="AA8" s="26" t="s">
        <v>12</v>
      </c>
      <c r="AB8" s="27">
        <v>17</v>
      </c>
      <c r="AC8" s="25">
        <v>1.18</v>
      </c>
      <c r="AD8" s="25">
        <v>0</v>
      </c>
      <c r="AE8" s="25">
        <v>1</v>
      </c>
      <c r="AF8" s="25"/>
      <c r="AG8" s="25"/>
      <c r="AH8" s="25"/>
      <c r="AI8" s="26"/>
      <c r="AJ8" s="18">
        <f t="shared" si="2"/>
        <v>0</v>
      </c>
    </row>
    <row r="9" spans="1:36" x14ac:dyDescent="0.25">
      <c r="A9" s="24" t="s">
        <v>7</v>
      </c>
      <c r="B9" s="25">
        <v>1</v>
      </c>
      <c r="C9" s="26" t="s">
        <v>13</v>
      </c>
      <c r="D9" s="27">
        <v>18</v>
      </c>
      <c r="E9" s="25">
        <v>1.44</v>
      </c>
      <c r="F9" s="25">
        <v>0</v>
      </c>
      <c r="G9" s="25">
        <v>1</v>
      </c>
      <c r="H9" s="25"/>
      <c r="I9" s="25"/>
      <c r="J9" s="25"/>
      <c r="K9" s="26"/>
      <c r="L9" s="18">
        <f t="shared" si="0"/>
        <v>0</v>
      </c>
      <c r="M9" s="14" t="s">
        <v>9</v>
      </c>
      <c r="N9" s="25">
        <v>1</v>
      </c>
      <c r="O9" s="26" t="s">
        <v>13</v>
      </c>
      <c r="P9" s="27">
        <v>17.2</v>
      </c>
      <c r="Q9" s="25">
        <v>1.28</v>
      </c>
      <c r="R9" s="25">
        <v>1</v>
      </c>
      <c r="S9" s="25">
        <v>0</v>
      </c>
      <c r="T9" s="25"/>
      <c r="U9" s="25"/>
      <c r="V9" s="25"/>
      <c r="W9" s="26"/>
      <c r="X9" s="18">
        <f t="shared" si="1"/>
        <v>0</v>
      </c>
      <c r="Y9" s="24" t="s">
        <v>10</v>
      </c>
      <c r="Z9" s="25">
        <v>1</v>
      </c>
      <c r="AA9" s="26" t="s">
        <v>13</v>
      </c>
      <c r="AB9" s="27">
        <v>17.600000000000001</v>
      </c>
      <c r="AC9" s="25">
        <v>1.39</v>
      </c>
      <c r="AD9" s="25">
        <v>0</v>
      </c>
      <c r="AE9" s="25">
        <v>1</v>
      </c>
      <c r="AF9" s="25"/>
      <c r="AG9" s="25"/>
      <c r="AH9" s="25"/>
      <c r="AI9" s="26"/>
      <c r="AJ9" s="18">
        <f t="shared" si="2"/>
        <v>0</v>
      </c>
    </row>
    <row r="10" spans="1:36" x14ac:dyDescent="0.25">
      <c r="A10" s="24" t="s">
        <v>7</v>
      </c>
      <c r="B10" s="25">
        <v>1</v>
      </c>
      <c r="C10" s="26" t="s">
        <v>8</v>
      </c>
      <c r="D10" s="27">
        <v>17.5</v>
      </c>
      <c r="E10" s="25">
        <v>1.44</v>
      </c>
      <c r="F10" s="25">
        <v>0</v>
      </c>
      <c r="G10" s="25">
        <v>1</v>
      </c>
      <c r="H10" s="25"/>
      <c r="I10" s="25"/>
      <c r="J10" s="25"/>
      <c r="K10" s="26"/>
      <c r="L10" s="18">
        <f t="shared" si="0"/>
        <v>0</v>
      </c>
      <c r="M10" s="14" t="s">
        <v>9</v>
      </c>
      <c r="N10" s="25">
        <v>1</v>
      </c>
      <c r="O10" s="26" t="s">
        <v>8</v>
      </c>
      <c r="P10" s="27">
        <v>16</v>
      </c>
      <c r="Q10" s="25">
        <v>0.95</v>
      </c>
      <c r="R10" s="25">
        <v>0</v>
      </c>
      <c r="S10" s="25">
        <v>1</v>
      </c>
      <c r="T10" s="25"/>
      <c r="U10" s="25"/>
      <c r="V10" s="25"/>
      <c r="W10" s="26"/>
      <c r="X10" s="18">
        <f t="shared" si="1"/>
        <v>0</v>
      </c>
      <c r="Y10" s="24" t="s">
        <v>10</v>
      </c>
      <c r="Z10" s="25">
        <v>1</v>
      </c>
      <c r="AA10" s="26" t="s">
        <v>8</v>
      </c>
      <c r="AB10" s="27">
        <v>18.2</v>
      </c>
      <c r="AC10" s="25">
        <v>1.55</v>
      </c>
      <c r="AD10" s="25">
        <v>0</v>
      </c>
      <c r="AE10" s="25">
        <v>1</v>
      </c>
      <c r="AF10" s="25"/>
      <c r="AG10" s="25"/>
      <c r="AH10" s="25"/>
      <c r="AI10" s="26"/>
      <c r="AJ10" s="18">
        <f t="shared" si="2"/>
        <v>0</v>
      </c>
    </row>
    <row r="11" spans="1:36" x14ac:dyDescent="0.25">
      <c r="A11" s="24" t="s">
        <v>7</v>
      </c>
      <c r="B11" s="25">
        <v>1</v>
      </c>
      <c r="C11" s="26" t="s">
        <v>11</v>
      </c>
      <c r="D11" s="27">
        <v>18</v>
      </c>
      <c r="E11" s="25">
        <v>1.44</v>
      </c>
      <c r="F11" s="25">
        <v>0</v>
      </c>
      <c r="G11" s="25">
        <v>1</v>
      </c>
      <c r="H11" s="25"/>
      <c r="I11" s="25"/>
      <c r="J11" s="25"/>
      <c r="K11" s="26"/>
      <c r="L11" s="18">
        <f t="shared" si="0"/>
        <v>0</v>
      </c>
      <c r="M11" s="14" t="s">
        <v>9</v>
      </c>
      <c r="N11" s="25">
        <v>1</v>
      </c>
      <c r="O11" s="26" t="s">
        <v>11</v>
      </c>
      <c r="P11" s="27">
        <v>20.5</v>
      </c>
      <c r="Q11" s="25">
        <v>1.71</v>
      </c>
      <c r="R11" s="25">
        <v>0</v>
      </c>
      <c r="S11" s="25">
        <v>1</v>
      </c>
      <c r="T11" s="25"/>
      <c r="U11" s="25"/>
      <c r="V11" s="25"/>
      <c r="W11" s="26"/>
      <c r="X11" s="18">
        <f t="shared" si="1"/>
        <v>0</v>
      </c>
      <c r="Y11" s="24" t="s">
        <v>10</v>
      </c>
      <c r="Z11" s="25">
        <v>1</v>
      </c>
      <c r="AA11" s="26" t="s">
        <v>11</v>
      </c>
      <c r="AB11" s="27">
        <v>18.5</v>
      </c>
      <c r="AC11" s="25">
        <v>1.64</v>
      </c>
      <c r="AD11" s="25">
        <v>1</v>
      </c>
      <c r="AE11" s="25">
        <v>0</v>
      </c>
      <c r="AF11" s="25"/>
      <c r="AG11" s="25"/>
      <c r="AH11" s="25"/>
      <c r="AI11" s="26"/>
      <c r="AJ11" s="18">
        <f t="shared" si="2"/>
        <v>0</v>
      </c>
    </row>
    <row r="12" spans="1:36" x14ac:dyDescent="0.25">
      <c r="A12" s="24" t="s">
        <v>7</v>
      </c>
      <c r="B12" s="25">
        <v>1</v>
      </c>
      <c r="C12" s="26" t="s">
        <v>12</v>
      </c>
      <c r="D12" s="27">
        <v>16</v>
      </c>
      <c r="E12" s="25">
        <v>1.04</v>
      </c>
      <c r="F12" s="25">
        <v>0</v>
      </c>
      <c r="G12" s="25">
        <v>1</v>
      </c>
      <c r="H12" s="25"/>
      <c r="I12" s="25"/>
      <c r="J12" s="25"/>
      <c r="K12" s="26"/>
      <c r="L12" s="18">
        <f t="shared" si="0"/>
        <v>0</v>
      </c>
      <c r="M12" s="14" t="s">
        <v>9</v>
      </c>
      <c r="N12" s="25">
        <v>1</v>
      </c>
      <c r="O12" s="26" t="s">
        <v>12</v>
      </c>
      <c r="P12" s="27">
        <v>20.5</v>
      </c>
      <c r="Q12" s="25">
        <v>1.74</v>
      </c>
      <c r="R12" s="25">
        <v>0</v>
      </c>
      <c r="S12" s="25">
        <v>1</v>
      </c>
      <c r="T12" s="25"/>
      <c r="U12" s="25"/>
      <c r="V12" s="25"/>
      <c r="W12" s="26"/>
      <c r="X12" s="18">
        <f t="shared" si="1"/>
        <v>0</v>
      </c>
      <c r="Y12" s="24" t="s">
        <v>10</v>
      </c>
      <c r="Z12" s="25">
        <v>1</v>
      </c>
      <c r="AA12" s="26" t="s">
        <v>12</v>
      </c>
      <c r="AB12" s="27">
        <v>16.399999999999999</v>
      </c>
      <c r="AC12" s="25">
        <v>0.99</v>
      </c>
      <c r="AD12" s="25">
        <v>1</v>
      </c>
      <c r="AE12" s="25">
        <v>0</v>
      </c>
      <c r="AF12" s="25"/>
      <c r="AG12" s="25"/>
      <c r="AH12" s="25"/>
      <c r="AI12" s="26"/>
      <c r="AJ12" s="18">
        <f t="shared" si="2"/>
        <v>0</v>
      </c>
    </row>
    <row r="13" spans="1:36" ht="15.75" thickBot="1" x14ac:dyDescent="0.3">
      <c r="A13" s="31" t="s">
        <v>7</v>
      </c>
      <c r="B13" s="32">
        <v>1</v>
      </c>
      <c r="C13" s="33" t="s">
        <v>13</v>
      </c>
      <c r="D13" s="34">
        <v>16.399999999999999</v>
      </c>
      <c r="E13" s="32">
        <v>1.04</v>
      </c>
      <c r="F13" s="32">
        <v>0</v>
      </c>
      <c r="G13" s="32">
        <v>1</v>
      </c>
      <c r="H13" s="32"/>
      <c r="I13" s="32"/>
      <c r="J13" s="32"/>
      <c r="K13" s="33"/>
      <c r="L13" s="18">
        <f t="shared" si="0"/>
        <v>0</v>
      </c>
      <c r="M13" s="35" t="s">
        <v>9</v>
      </c>
      <c r="N13" s="36">
        <v>1</v>
      </c>
      <c r="O13" s="37" t="s">
        <v>13</v>
      </c>
      <c r="P13" s="38">
        <v>18.5</v>
      </c>
      <c r="Q13" s="36">
        <v>1.6</v>
      </c>
      <c r="R13" s="36">
        <v>1</v>
      </c>
      <c r="S13" s="36">
        <v>0</v>
      </c>
      <c r="T13" s="36"/>
      <c r="U13" s="36"/>
      <c r="V13" s="36"/>
      <c r="W13" s="37"/>
      <c r="X13" s="18">
        <f t="shared" si="1"/>
        <v>0</v>
      </c>
      <c r="Y13" s="31" t="s">
        <v>10</v>
      </c>
      <c r="Z13" s="32">
        <v>1</v>
      </c>
      <c r="AA13" s="33" t="s">
        <v>13</v>
      </c>
      <c r="AB13" s="34">
        <v>17</v>
      </c>
      <c r="AC13" s="32">
        <v>1.35</v>
      </c>
      <c r="AD13" s="32">
        <v>1</v>
      </c>
      <c r="AE13" s="32">
        <v>0</v>
      </c>
      <c r="AF13" s="32"/>
      <c r="AG13" s="32"/>
      <c r="AH13" s="32"/>
      <c r="AI13" s="33"/>
      <c r="AJ13" s="18">
        <f t="shared" si="2"/>
        <v>0</v>
      </c>
    </row>
    <row r="14" spans="1:36" x14ac:dyDescent="0.25">
      <c r="A14" s="39" t="s">
        <v>7</v>
      </c>
      <c r="B14" s="40">
        <v>3</v>
      </c>
      <c r="C14" s="41" t="s">
        <v>8</v>
      </c>
      <c r="D14" s="42">
        <v>17.600000000000001</v>
      </c>
      <c r="E14" s="43">
        <v>1.25</v>
      </c>
      <c r="F14" s="40">
        <v>0</v>
      </c>
      <c r="G14" s="40">
        <v>3</v>
      </c>
      <c r="H14" s="40"/>
      <c r="I14" s="40"/>
      <c r="J14" s="40"/>
      <c r="K14" s="41"/>
      <c r="L14" s="18">
        <f t="shared" si="0"/>
        <v>0</v>
      </c>
      <c r="M14" s="19" t="s">
        <v>9</v>
      </c>
      <c r="N14" s="40">
        <v>3</v>
      </c>
      <c r="O14" s="41" t="s">
        <v>8</v>
      </c>
      <c r="P14" s="44">
        <v>17.600000000000001</v>
      </c>
      <c r="Q14" s="40">
        <v>1.28</v>
      </c>
      <c r="R14" s="40">
        <v>0</v>
      </c>
      <c r="S14" s="40">
        <v>2</v>
      </c>
      <c r="T14" s="40"/>
      <c r="U14" s="40"/>
      <c r="V14" s="40">
        <v>1</v>
      </c>
      <c r="W14" s="41"/>
      <c r="X14" s="18">
        <f t="shared" si="1"/>
        <v>1</v>
      </c>
      <c r="Y14" s="45" t="s">
        <v>10</v>
      </c>
      <c r="Z14" s="46">
        <v>3</v>
      </c>
      <c r="AA14" s="47" t="s">
        <v>8</v>
      </c>
      <c r="AB14" s="48">
        <v>17.100000000000001</v>
      </c>
      <c r="AC14" s="46">
        <v>1.22</v>
      </c>
      <c r="AD14" s="46">
        <v>1</v>
      </c>
      <c r="AE14" s="46">
        <v>2</v>
      </c>
      <c r="AF14" s="46"/>
      <c r="AG14" s="46"/>
      <c r="AH14" s="46"/>
      <c r="AI14" s="47"/>
      <c r="AJ14" s="18">
        <f t="shared" si="2"/>
        <v>0</v>
      </c>
    </row>
    <row r="15" spans="1:36" x14ac:dyDescent="0.25">
      <c r="A15" s="49" t="s">
        <v>7</v>
      </c>
      <c r="B15" s="50">
        <v>3</v>
      </c>
      <c r="C15" s="51" t="s">
        <v>11</v>
      </c>
      <c r="D15" s="52">
        <v>19.8</v>
      </c>
      <c r="E15" s="50">
        <v>1.61</v>
      </c>
      <c r="F15" s="50">
        <v>0</v>
      </c>
      <c r="G15" s="50">
        <v>3</v>
      </c>
      <c r="H15" s="50"/>
      <c r="I15" s="50"/>
      <c r="J15" s="50"/>
      <c r="K15" s="51"/>
      <c r="L15" s="18">
        <f t="shared" si="0"/>
        <v>0</v>
      </c>
      <c r="M15" s="14" t="s">
        <v>9</v>
      </c>
      <c r="N15" s="50">
        <v>3</v>
      </c>
      <c r="O15" s="51" t="s">
        <v>11</v>
      </c>
      <c r="P15" s="52">
        <v>16.100000000000001</v>
      </c>
      <c r="Q15" s="50">
        <v>1</v>
      </c>
      <c r="R15" s="50">
        <v>0</v>
      </c>
      <c r="S15" s="50">
        <v>3</v>
      </c>
      <c r="T15" s="50"/>
      <c r="U15" s="50"/>
      <c r="V15" s="50"/>
      <c r="W15" s="51"/>
      <c r="X15" s="18">
        <f t="shared" si="1"/>
        <v>0</v>
      </c>
      <c r="Y15" s="49" t="s">
        <v>10</v>
      </c>
      <c r="Z15" s="50">
        <v>3</v>
      </c>
      <c r="AA15" s="51" t="s">
        <v>11</v>
      </c>
      <c r="AB15" s="52">
        <v>17.2</v>
      </c>
      <c r="AC15" s="50">
        <v>1.68</v>
      </c>
      <c r="AD15" s="50">
        <v>3</v>
      </c>
      <c r="AE15" s="50">
        <v>0</v>
      </c>
      <c r="AF15" s="50"/>
      <c r="AG15" s="50"/>
      <c r="AH15" s="50"/>
      <c r="AI15" s="51"/>
      <c r="AJ15" s="18">
        <f t="shared" si="2"/>
        <v>0</v>
      </c>
    </row>
    <row r="16" spans="1:36" x14ac:dyDescent="0.25">
      <c r="A16" s="49" t="s">
        <v>7</v>
      </c>
      <c r="B16" s="50">
        <v>3</v>
      </c>
      <c r="C16" s="51" t="s">
        <v>12</v>
      </c>
      <c r="D16" s="53">
        <v>17.5</v>
      </c>
      <c r="E16" s="54">
        <v>1.21</v>
      </c>
      <c r="F16" s="54">
        <v>0</v>
      </c>
      <c r="G16" s="54">
        <v>3</v>
      </c>
      <c r="H16" s="54"/>
      <c r="I16" s="54"/>
      <c r="J16" s="54"/>
      <c r="K16" s="55"/>
      <c r="L16" s="18">
        <f t="shared" si="0"/>
        <v>0</v>
      </c>
      <c r="M16" s="14" t="s">
        <v>9</v>
      </c>
      <c r="N16" s="50">
        <v>3</v>
      </c>
      <c r="O16" s="51" t="s">
        <v>12</v>
      </c>
      <c r="P16" s="52">
        <v>19.899999999999999</v>
      </c>
      <c r="Q16" s="50">
        <v>1.72</v>
      </c>
      <c r="R16" s="50">
        <v>1</v>
      </c>
      <c r="S16" s="50">
        <v>2</v>
      </c>
      <c r="T16" s="50"/>
      <c r="U16" s="50"/>
      <c r="V16" s="50"/>
      <c r="W16" s="51"/>
      <c r="X16" s="18">
        <f t="shared" si="1"/>
        <v>0</v>
      </c>
      <c r="Y16" s="49" t="s">
        <v>10</v>
      </c>
      <c r="Z16" s="50">
        <v>3</v>
      </c>
      <c r="AA16" s="51" t="s">
        <v>12</v>
      </c>
      <c r="AB16" s="52">
        <v>17</v>
      </c>
      <c r="AC16" s="50">
        <v>1.25</v>
      </c>
      <c r="AD16" s="50">
        <v>3</v>
      </c>
      <c r="AE16" s="50">
        <v>0</v>
      </c>
      <c r="AF16" s="50"/>
      <c r="AG16" s="50"/>
      <c r="AH16" s="50"/>
      <c r="AI16" s="51"/>
      <c r="AJ16" s="18">
        <f t="shared" si="2"/>
        <v>0</v>
      </c>
    </row>
    <row r="17" spans="1:36" x14ac:dyDescent="0.25">
      <c r="A17" s="49" t="s">
        <v>7</v>
      </c>
      <c r="B17" s="50">
        <v>3</v>
      </c>
      <c r="C17" s="56" t="s">
        <v>13</v>
      </c>
      <c r="D17" s="57">
        <v>18.399999999999999</v>
      </c>
      <c r="E17" s="57">
        <v>1.38</v>
      </c>
      <c r="F17" s="57">
        <v>1</v>
      </c>
      <c r="G17" s="57">
        <v>2</v>
      </c>
      <c r="H17" s="58"/>
      <c r="I17" s="58"/>
      <c r="J17" s="58"/>
      <c r="K17" s="59"/>
      <c r="L17" s="18">
        <f t="shared" si="0"/>
        <v>0</v>
      </c>
      <c r="M17" s="14" t="s">
        <v>9</v>
      </c>
      <c r="N17" s="50">
        <v>3</v>
      </c>
      <c r="O17" s="51" t="s">
        <v>13</v>
      </c>
      <c r="P17" s="52">
        <v>20.399999999999999</v>
      </c>
      <c r="Q17" s="50">
        <v>1.84</v>
      </c>
      <c r="R17" s="50">
        <v>1</v>
      </c>
      <c r="S17" s="50">
        <v>2</v>
      </c>
      <c r="T17" s="50"/>
      <c r="U17" s="50"/>
      <c r="V17" s="50"/>
      <c r="W17" s="51"/>
      <c r="X17" s="18">
        <f t="shared" si="1"/>
        <v>0</v>
      </c>
      <c r="Y17" s="49" t="s">
        <v>10</v>
      </c>
      <c r="Z17" s="50">
        <v>3</v>
      </c>
      <c r="AA17" s="51" t="s">
        <v>13</v>
      </c>
      <c r="AB17" s="52">
        <v>17.899999999999999</v>
      </c>
      <c r="AC17" s="50">
        <v>1.54</v>
      </c>
      <c r="AD17" s="50">
        <v>3</v>
      </c>
      <c r="AE17" s="50">
        <v>0</v>
      </c>
      <c r="AF17" s="50"/>
      <c r="AG17" s="50"/>
      <c r="AH17" s="50"/>
      <c r="AI17" s="51"/>
      <c r="AJ17" s="18">
        <f t="shared" si="2"/>
        <v>0</v>
      </c>
    </row>
    <row r="18" spans="1:36" x14ac:dyDescent="0.25">
      <c r="A18" s="49" t="s">
        <v>7</v>
      </c>
      <c r="B18" s="50">
        <v>3</v>
      </c>
      <c r="C18" s="51" t="s">
        <v>8</v>
      </c>
      <c r="D18" s="48">
        <v>17</v>
      </c>
      <c r="E18" s="46">
        <v>1.1499999999999999</v>
      </c>
      <c r="F18" s="46">
        <v>0</v>
      </c>
      <c r="G18" s="46">
        <v>3</v>
      </c>
      <c r="H18" s="46"/>
      <c r="I18" s="46"/>
      <c r="J18" s="46"/>
      <c r="K18" s="47"/>
      <c r="L18" s="18">
        <f t="shared" si="0"/>
        <v>0</v>
      </c>
      <c r="M18" s="14" t="s">
        <v>9</v>
      </c>
      <c r="N18" s="50">
        <v>3</v>
      </c>
      <c r="O18" s="51" t="s">
        <v>8</v>
      </c>
      <c r="P18" s="52">
        <v>16.899999999999999</v>
      </c>
      <c r="Q18" s="50">
        <v>1.27</v>
      </c>
      <c r="R18" s="50">
        <v>0</v>
      </c>
      <c r="S18" s="50">
        <v>3</v>
      </c>
      <c r="T18" s="50"/>
      <c r="U18" s="50"/>
      <c r="V18" s="50"/>
      <c r="W18" s="51"/>
      <c r="X18" s="18">
        <f t="shared" si="1"/>
        <v>0</v>
      </c>
      <c r="Y18" s="49" t="s">
        <v>10</v>
      </c>
      <c r="Z18" s="50">
        <v>3</v>
      </c>
      <c r="AA18" s="51" t="s">
        <v>8</v>
      </c>
      <c r="AB18" s="52">
        <v>16.600000000000001</v>
      </c>
      <c r="AC18" s="50">
        <v>1.25</v>
      </c>
      <c r="AD18" s="50">
        <v>1</v>
      </c>
      <c r="AE18" s="50">
        <v>2</v>
      </c>
      <c r="AF18" s="50"/>
      <c r="AG18" s="50"/>
      <c r="AH18" s="50"/>
      <c r="AI18" s="51"/>
      <c r="AJ18" s="18">
        <f t="shared" si="2"/>
        <v>0</v>
      </c>
    </row>
    <row r="19" spans="1:36" x14ac:dyDescent="0.25">
      <c r="A19" s="49" t="s">
        <v>7</v>
      </c>
      <c r="B19" s="50">
        <v>3</v>
      </c>
      <c r="C19" s="51" t="s">
        <v>11</v>
      </c>
      <c r="D19" s="52">
        <v>17.100000000000001</v>
      </c>
      <c r="E19" s="50">
        <v>1.19</v>
      </c>
      <c r="F19" s="50">
        <v>0</v>
      </c>
      <c r="G19" s="50">
        <v>3</v>
      </c>
      <c r="H19" s="50"/>
      <c r="I19" s="50"/>
      <c r="J19" s="50"/>
      <c r="K19" s="51"/>
      <c r="L19" s="18">
        <f t="shared" si="0"/>
        <v>0</v>
      </c>
      <c r="M19" s="14" t="s">
        <v>9</v>
      </c>
      <c r="N19" s="50">
        <v>3</v>
      </c>
      <c r="O19" s="51" t="s">
        <v>11</v>
      </c>
      <c r="P19" s="52">
        <v>16.600000000000001</v>
      </c>
      <c r="Q19" s="50">
        <v>1.1599999999999999</v>
      </c>
      <c r="R19" s="50">
        <v>1</v>
      </c>
      <c r="S19" s="50">
        <v>1</v>
      </c>
      <c r="T19" s="50"/>
      <c r="U19" s="50"/>
      <c r="V19" s="50"/>
      <c r="W19" s="51">
        <v>1</v>
      </c>
      <c r="X19" s="18">
        <f t="shared" si="1"/>
        <v>1</v>
      </c>
      <c r="Y19" s="49" t="s">
        <v>10</v>
      </c>
      <c r="Z19" s="50">
        <v>3</v>
      </c>
      <c r="AA19" s="51" t="s">
        <v>11</v>
      </c>
      <c r="AB19" s="52">
        <v>20.5</v>
      </c>
      <c r="AC19" s="50">
        <v>2</v>
      </c>
      <c r="AD19" s="50">
        <v>3</v>
      </c>
      <c r="AE19" s="50">
        <v>0</v>
      </c>
      <c r="AF19" s="50"/>
      <c r="AG19" s="50"/>
      <c r="AH19" s="50"/>
      <c r="AI19" s="51"/>
      <c r="AJ19" s="18">
        <f t="shared" si="2"/>
        <v>0</v>
      </c>
    </row>
    <row r="20" spans="1:36" x14ac:dyDescent="0.25">
      <c r="A20" s="49" t="s">
        <v>7</v>
      </c>
      <c r="B20" s="50">
        <v>3</v>
      </c>
      <c r="C20" s="51" t="s">
        <v>12</v>
      </c>
      <c r="D20" s="52">
        <v>17.5</v>
      </c>
      <c r="E20" s="50">
        <v>1.2</v>
      </c>
      <c r="F20" s="50">
        <v>0</v>
      </c>
      <c r="G20" s="50">
        <v>3</v>
      </c>
      <c r="H20" s="50"/>
      <c r="I20" s="50"/>
      <c r="J20" s="50"/>
      <c r="K20" s="51"/>
      <c r="L20" s="18">
        <f t="shared" si="0"/>
        <v>0</v>
      </c>
      <c r="M20" s="14" t="s">
        <v>9</v>
      </c>
      <c r="N20" s="50">
        <v>3</v>
      </c>
      <c r="O20" s="51" t="s">
        <v>12</v>
      </c>
      <c r="P20" s="52">
        <v>17.399999999999999</v>
      </c>
      <c r="Q20" s="50">
        <v>1.25</v>
      </c>
      <c r="R20" s="50">
        <v>0</v>
      </c>
      <c r="S20" s="50">
        <v>3</v>
      </c>
      <c r="T20" s="50"/>
      <c r="U20" s="50"/>
      <c r="V20" s="50"/>
      <c r="W20" s="51"/>
      <c r="X20" s="18">
        <f t="shared" si="1"/>
        <v>0</v>
      </c>
      <c r="Y20" s="49" t="s">
        <v>10</v>
      </c>
      <c r="Z20" s="50">
        <v>3</v>
      </c>
      <c r="AA20" s="51" t="s">
        <v>12</v>
      </c>
      <c r="AB20" s="52">
        <v>17.5</v>
      </c>
      <c r="AC20" s="50">
        <v>1.48</v>
      </c>
      <c r="AD20" s="50">
        <v>3</v>
      </c>
      <c r="AE20" s="50">
        <v>0</v>
      </c>
      <c r="AF20" s="50"/>
      <c r="AG20" s="50"/>
      <c r="AH20" s="50"/>
      <c r="AI20" s="51"/>
      <c r="AJ20" s="18">
        <f t="shared" si="2"/>
        <v>0</v>
      </c>
    </row>
    <row r="21" spans="1:36" x14ac:dyDescent="0.25">
      <c r="A21" s="49" t="s">
        <v>7</v>
      </c>
      <c r="B21" s="50">
        <v>3</v>
      </c>
      <c r="C21" s="51" t="s">
        <v>13</v>
      </c>
      <c r="D21" s="52">
        <v>20</v>
      </c>
      <c r="E21" s="50">
        <v>1.7</v>
      </c>
      <c r="F21" s="50">
        <v>0</v>
      </c>
      <c r="G21" s="50">
        <v>3</v>
      </c>
      <c r="H21" s="50"/>
      <c r="I21" s="50"/>
      <c r="J21" s="50"/>
      <c r="K21" s="51"/>
      <c r="L21" s="18">
        <f t="shared" si="0"/>
        <v>0</v>
      </c>
      <c r="M21" s="14" t="s">
        <v>9</v>
      </c>
      <c r="N21" s="50">
        <v>3</v>
      </c>
      <c r="O21" s="51" t="s">
        <v>13</v>
      </c>
      <c r="P21" s="52">
        <v>17.899999999999999</v>
      </c>
      <c r="Q21" s="50">
        <v>1.42</v>
      </c>
      <c r="R21" s="50">
        <v>1</v>
      </c>
      <c r="S21" s="50">
        <v>2</v>
      </c>
      <c r="T21" s="50"/>
      <c r="U21" s="50"/>
      <c r="V21" s="50"/>
      <c r="W21" s="51"/>
      <c r="X21" s="18">
        <f t="shared" si="1"/>
        <v>0</v>
      </c>
      <c r="Y21" s="49" t="s">
        <v>10</v>
      </c>
      <c r="Z21" s="50">
        <v>3</v>
      </c>
      <c r="AA21" s="51" t="s">
        <v>13</v>
      </c>
      <c r="AB21" s="52">
        <v>17.100000000000001</v>
      </c>
      <c r="AC21" s="50">
        <v>1.35</v>
      </c>
      <c r="AD21" s="50">
        <v>2</v>
      </c>
      <c r="AE21" s="50">
        <v>1</v>
      </c>
      <c r="AF21" s="50"/>
      <c r="AG21" s="50"/>
      <c r="AH21" s="50"/>
      <c r="AI21" s="51"/>
      <c r="AJ21" s="18">
        <f t="shared" si="2"/>
        <v>0</v>
      </c>
    </row>
    <row r="22" spans="1:36" x14ac:dyDescent="0.25">
      <c r="A22" s="49" t="s">
        <v>7</v>
      </c>
      <c r="B22" s="50">
        <v>3</v>
      </c>
      <c r="C22" s="51" t="s">
        <v>8</v>
      </c>
      <c r="D22" s="52">
        <v>19.899999999999999</v>
      </c>
      <c r="E22" s="50">
        <v>1.54</v>
      </c>
      <c r="F22" s="50">
        <v>0</v>
      </c>
      <c r="G22" s="50">
        <v>3</v>
      </c>
      <c r="H22" s="50"/>
      <c r="I22" s="50"/>
      <c r="J22" s="50"/>
      <c r="K22" s="51"/>
      <c r="L22" s="18">
        <f t="shared" si="0"/>
        <v>0</v>
      </c>
      <c r="M22" s="14" t="s">
        <v>9</v>
      </c>
      <c r="N22" s="50">
        <v>3</v>
      </c>
      <c r="O22" s="51" t="s">
        <v>8</v>
      </c>
      <c r="P22" s="52">
        <v>17.600000000000001</v>
      </c>
      <c r="Q22" s="50">
        <v>1.23</v>
      </c>
      <c r="R22" s="50">
        <v>0</v>
      </c>
      <c r="S22" s="50">
        <v>3</v>
      </c>
      <c r="T22" s="50"/>
      <c r="U22" s="50"/>
      <c r="V22" s="50"/>
      <c r="W22" s="51"/>
      <c r="X22" s="18">
        <f t="shared" si="1"/>
        <v>0</v>
      </c>
      <c r="Y22" s="49" t="s">
        <v>10</v>
      </c>
      <c r="Z22" s="50">
        <v>3</v>
      </c>
      <c r="AA22" s="51" t="s">
        <v>8</v>
      </c>
      <c r="AB22" s="52">
        <v>17</v>
      </c>
      <c r="AC22" s="50">
        <v>1.29</v>
      </c>
      <c r="AD22" s="50">
        <v>3</v>
      </c>
      <c r="AE22" s="50">
        <v>0</v>
      </c>
      <c r="AF22" s="50"/>
      <c r="AG22" s="50"/>
      <c r="AH22" s="50"/>
      <c r="AI22" s="51"/>
      <c r="AJ22" s="18">
        <f t="shared" si="2"/>
        <v>0</v>
      </c>
    </row>
    <row r="23" spans="1:36" x14ac:dyDescent="0.25">
      <c r="A23" s="49" t="s">
        <v>7</v>
      </c>
      <c r="B23" s="50">
        <v>3</v>
      </c>
      <c r="C23" s="51" t="s">
        <v>11</v>
      </c>
      <c r="D23" s="52">
        <v>18.3</v>
      </c>
      <c r="E23" s="50">
        <v>1.47</v>
      </c>
      <c r="F23" s="50">
        <v>0</v>
      </c>
      <c r="G23" s="50">
        <v>3</v>
      </c>
      <c r="H23" s="50"/>
      <c r="I23" s="50"/>
      <c r="J23" s="50"/>
      <c r="K23" s="51"/>
      <c r="L23" s="18">
        <f t="shared" si="0"/>
        <v>0</v>
      </c>
      <c r="M23" s="14" t="s">
        <v>9</v>
      </c>
      <c r="N23" s="50">
        <v>3</v>
      </c>
      <c r="O23" s="51" t="s">
        <v>11</v>
      </c>
      <c r="P23" s="52">
        <v>19.8</v>
      </c>
      <c r="Q23" s="50">
        <v>1.59</v>
      </c>
      <c r="R23" s="50">
        <v>0</v>
      </c>
      <c r="S23" s="50">
        <v>3</v>
      </c>
      <c r="T23" s="50"/>
      <c r="U23" s="50"/>
      <c r="V23" s="50"/>
      <c r="W23" s="51"/>
      <c r="X23" s="18">
        <f t="shared" si="1"/>
        <v>0</v>
      </c>
      <c r="Y23" s="49" t="s">
        <v>10</v>
      </c>
      <c r="Z23" s="50">
        <v>3</v>
      </c>
      <c r="AA23" s="51" t="s">
        <v>11</v>
      </c>
      <c r="AB23" s="52">
        <v>17.3</v>
      </c>
      <c r="AC23" s="50">
        <v>1.24</v>
      </c>
      <c r="AD23" s="50">
        <v>1</v>
      </c>
      <c r="AE23" s="50">
        <v>2</v>
      </c>
      <c r="AF23" s="50"/>
      <c r="AG23" s="50"/>
      <c r="AH23" s="50"/>
      <c r="AI23" s="51"/>
      <c r="AJ23" s="18">
        <f t="shared" si="2"/>
        <v>0</v>
      </c>
    </row>
    <row r="24" spans="1:36" x14ac:dyDescent="0.25">
      <c r="A24" s="49" t="s">
        <v>7</v>
      </c>
      <c r="B24" s="50">
        <v>3</v>
      </c>
      <c r="C24" s="51" t="s">
        <v>12</v>
      </c>
      <c r="D24" s="52">
        <v>18</v>
      </c>
      <c r="E24" s="50">
        <v>1.4</v>
      </c>
      <c r="F24" s="50">
        <v>0</v>
      </c>
      <c r="G24" s="50">
        <v>3</v>
      </c>
      <c r="H24" s="50"/>
      <c r="I24" s="50"/>
      <c r="J24" s="50"/>
      <c r="K24" s="51"/>
      <c r="L24" s="18">
        <f t="shared" si="0"/>
        <v>0</v>
      </c>
      <c r="M24" s="14" t="s">
        <v>9</v>
      </c>
      <c r="N24" s="50">
        <v>3</v>
      </c>
      <c r="O24" s="51" t="s">
        <v>12</v>
      </c>
      <c r="P24" s="52">
        <v>16.7</v>
      </c>
      <c r="Q24" s="50">
        <v>1.17</v>
      </c>
      <c r="R24" s="50">
        <v>3</v>
      </c>
      <c r="S24" s="50">
        <v>0</v>
      </c>
      <c r="T24" s="50"/>
      <c r="U24" s="50"/>
      <c r="V24" s="50"/>
      <c r="W24" s="51"/>
      <c r="X24" s="18">
        <f t="shared" si="1"/>
        <v>0</v>
      </c>
      <c r="Y24" s="49" t="s">
        <v>10</v>
      </c>
      <c r="Z24" s="50">
        <v>3</v>
      </c>
      <c r="AA24" s="51" t="s">
        <v>12</v>
      </c>
      <c r="AB24" s="52">
        <v>20.6</v>
      </c>
      <c r="AC24" s="50">
        <v>2.25</v>
      </c>
      <c r="AD24" s="50">
        <v>3</v>
      </c>
      <c r="AE24" s="50">
        <v>0</v>
      </c>
      <c r="AF24" s="50"/>
      <c r="AG24" s="50"/>
      <c r="AH24" s="50"/>
      <c r="AI24" s="51"/>
      <c r="AJ24" s="18">
        <f t="shared" si="2"/>
        <v>0</v>
      </c>
    </row>
    <row r="25" spans="1:36" ht="15.75" thickBot="1" x14ac:dyDescent="0.3">
      <c r="A25" s="60" t="s">
        <v>7</v>
      </c>
      <c r="B25" s="61">
        <v>3</v>
      </c>
      <c r="C25" s="62" t="s">
        <v>13</v>
      </c>
      <c r="D25" s="63">
        <v>18.2</v>
      </c>
      <c r="E25" s="61">
        <v>1.4</v>
      </c>
      <c r="F25" s="61">
        <v>0</v>
      </c>
      <c r="G25" s="61">
        <v>3</v>
      </c>
      <c r="H25" s="61"/>
      <c r="I25" s="61"/>
      <c r="J25" s="61"/>
      <c r="K25" s="62"/>
      <c r="L25" s="18">
        <f t="shared" si="0"/>
        <v>0</v>
      </c>
      <c r="M25" s="64" t="s">
        <v>9</v>
      </c>
      <c r="N25" s="61">
        <v>3</v>
      </c>
      <c r="O25" s="62" t="s">
        <v>13</v>
      </c>
      <c r="P25" s="63">
        <v>16</v>
      </c>
      <c r="Q25" s="61">
        <v>0.96</v>
      </c>
      <c r="R25" s="61">
        <v>1</v>
      </c>
      <c r="S25" s="61">
        <v>2</v>
      </c>
      <c r="T25" s="61"/>
      <c r="U25" s="61"/>
      <c r="V25" s="61"/>
      <c r="W25" s="62"/>
      <c r="X25" s="18">
        <f t="shared" si="1"/>
        <v>0</v>
      </c>
      <c r="Y25" s="65" t="s">
        <v>10</v>
      </c>
      <c r="Z25" s="54">
        <v>3</v>
      </c>
      <c r="AA25" s="55" t="s">
        <v>13</v>
      </c>
      <c r="AB25" s="53">
        <v>16.5</v>
      </c>
      <c r="AC25" s="54">
        <v>1.24</v>
      </c>
      <c r="AD25" s="54">
        <v>3</v>
      </c>
      <c r="AE25" s="54">
        <v>0</v>
      </c>
      <c r="AF25" s="54"/>
      <c r="AG25" s="54"/>
      <c r="AH25" s="54"/>
      <c r="AI25" s="55"/>
      <c r="AJ25" s="18">
        <f t="shared" si="2"/>
        <v>0</v>
      </c>
    </row>
    <row r="26" spans="1:36" x14ac:dyDescent="0.25">
      <c r="A26" s="14" t="s">
        <v>7</v>
      </c>
      <c r="B26" s="15">
        <v>6</v>
      </c>
      <c r="C26" s="16" t="s">
        <v>8</v>
      </c>
      <c r="D26" s="17">
        <v>18.600000000000001</v>
      </c>
      <c r="E26" s="15">
        <v>1.41</v>
      </c>
      <c r="F26" s="15">
        <v>1</v>
      </c>
      <c r="G26" s="15">
        <v>5</v>
      </c>
      <c r="H26" s="15"/>
      <c r="I26" s="15"/>
      <c r="J26" s="15"/>
      <c r="K26" s="16"/>
      <c r="L26" s="18">
        <f t="shared" si="0"/>
        <v>0</v>
      </c>
      <c r="M26" s="14" t="s">
        <v>9</v>
      </c>
      <c r="N26" s="15">
        <v>6</v>
      </c>
      <c r="O26" s="16" t="s">
        <v>8</v>
      </c>
      <c r="P26" s="17">
        <v>20.9</v>
      </c>
      <c r="Q26" s="15">
        <v>2.3199999999999998</v>
      </c>
      <c r="R26" s="15">
        <v>1</v>
      </c>
      <c r="S26" s="15">
        <v>5</v>
      </c>
      <c r="T26" s="15"/>
      <c r="U26" s="15"/>
      <c r="V26" s="15"/>
      <c r="W26" s="16"/>
      <c r="X26" s="18">
        <f t="shared" si="1"/>
        <v>0</v>
      </c>
      <c r="Y26" s="19" t="s">
        <v>10</v>
      </c>
      <c r="Z26" s="20">
        <v>6</v>
      </c>
      <c r="AA26" s="21" t="s">
        <v>8</v>
      </c>
      <c r="AB26" s="66">
        <v>17.100000000000001</v>
      </c>
      <c r="AC26" s="20">
        <v>1.34</v>
      </c>
      <c r="AD26" s="20">
        <v>6</v>
      </c>
      <c r="AE26" s="20">
        <v>0</v>
      </c>
      <c r="AF26" s="20"/>
      <c r="AG26" s="20"/>
      <c r="AH26" s="20"/>
      <c r="AI26" s="21"/>
      <c r="AJ26" s="18">
        <f t="shared" si="2"/>
        <v>0</v>
      </c>
    </row>
    <row r="27" spans="1:36" x14ac:dyDescent="0.25">
      <c r="A27" s="24" t="s">
        <v>7</v>
      </c>
      <c r="B27" s="25">
        <v>6</v>
      </c>
      <c r="C27" s="26" t="s">
        <v>11</v>
      </c>
      <c r="D27" s="27">
        <v>19.5</v>
      </c>
      <c r="E27" s="25">
        <v>1.68</v>
      </c>
      <c r="F27" s="25">
        <v>3</v>
      </c>
      <c r="G27" s="25">
        <v>3</v>
      </c>
      <c r="H27" s="25"/>
      <c r="I27" s="25"/>
      <c r="J27" s="25"/>
      <c r="K27" s="26"/>
      <c r="L27" s="18">
        <f t="shared" si="0"/>
        <v>0</v>
      </c>
      <c r="M27" s="14" t="s">
        <v>9</v>
      </c>
      <c r="N27" s="25">
        <v>6</v>
      </c>
      <c r="O27" s="26" t="s">
        <v>11</v>
      </c>
      <c r="P27" s="27">
        <v>17.7</v>
      </c>
      <c r="Q27" s="25">
        <v>1.3</v>
      </c>
      <c r="R27" s="25">
        <v>2</v>
      </c>
      <c r="S27" s="25">
        <v>4</v>
      </c>
      <c r="T27" s="25"/>
      <c r="U27" s="25"/>
      <c r="V27" s="25"/>
      <c r="W27" s="26"/>
      <c r="X27" s="18">
        <f t="shared" si="1"/>
        <v>0</v>
      </c>
      <c r="Y27" s="24" t="s">
        <v>10</v>
      </c>
      <c r="Z27" s="25">
        <v>6</v>
      </c>
      <c r="AA27" s="26" t="s">
        <v>11</v>
      </c>
      <c r="AB27" s="27">
        <v>20.2</v>
      </c>
      <c r="AC27" s="25">
        <v>1.88</v>
      </c>
      <c r="AD27" s="25">
        <v>3</v>
      </c>
      <c r="AE27" s="25">
        <v>3</v>
      </c>
      <c r="AF27" s="25"/>
      <c r="AG27" s="25"/>
      <c r="AH27" s="25"/>
      <c r="AI27" s="26"/>
      <c r="AJ27" s="18">
        <f t="shared" si="2"/>
        <v>0</v>
      </c>
    </row>
    <row r="28" spans="1:36" x14ac:dyDescent="0.25">
      <c r="A28" s="24" t="s">
        <v>7</v>
      </c>
      <c r="B28" s="25">
        <v>6</v>
      </c>
      <c r="C28" s="26" t="s">
        <v>12</v>
      </c>
      <c r="D28" s="27">
        <v>17.899999999999999</v>
      </c>
      <c r="E28" s="25">
        <v>1.39</v>
      </c>
      <c r="F28" s="25">
        <v>1</v>
      </c>
      <c r="G28" s="25">
        <v>5</v>
      </c>
      <c r="H28" s="25"/>
      <c r="I28" s="25"/>
      <c r="J28" s="25"/>
      <c r="K28" s="26"/>
      <c r="L28" s="18">
        <f t="shared" si="0"/>
        <v>0</v>
      </c>
      <c r="M28" s="14" t="s">
        <v>9</v>
      </c>
      <c r="N28" s="25">
        <v>6</v>
      </c>
      <c r="O28" s="26" t="s">
        <v>12</v>
      </c>
      <c r="P28" s="27">
        <v>19.600000000000001</v>
      </c>
      <c r="Q28" s="25">
        <v>1.58</v>
      </c>
      <c r="R28" s="25">
        <v>0</v>
      </c>
      <c r="S28" s="25">
        <v>4</v>
      </c>
      <c r="T28" s="25"/>
      <c r="U28" s="25"/>
      <c r="V28" s="25">
        <v>1</v>
      </c>
      <c r="W28" s="26">
        <v>1</v>
      </c>
      <c r="X28" s="18">
        <f t="shared" si="1"/>
        <v>2</v>
      </c>
      <c r="Y28" s="24" t="s">
        <v>10</v>
      </c>
      <c r="Z28" s="25">
        <v>6</v>
      </c>
      <c r="AA28" s="26" t="s">
        <v>12</v>
      </c>
      <c r="AB28" s="27">
        <v>16</v>
      </c>
      <c r="AC28" s="25">
        <v>1.0900000000000001</v>
      </c>
      <c r="AD28" s="25">
        <v>5</v>
      </c>
      <c r="AE28" s="25">
        <v>1</v>
      </c>
      <c r="AF28" s="25"/>
      <c r="AG28" s="25"/>
      <c r="AH28" s="25"/>
      <c r="AI28" s="26"/>
      <c r="AJ28" s="18">
        <f t="shared" si="2"/>
        <v>0</v>
      </c>
    </row>
    <row r="29" spans="1:36" x14ac:dyDescent="0.25">
      <c r="A29" s="24" t="s">
        <v>7</v>
      </c>
      <c r="B29" s="25">
        <v>6</v>
      </c>
      <c r="C29" s="26" t="s">
        <v>13</v>
      </c>
      <c r="D29" s="27">
        <v>17.2</v>
      </c>
      <c r="E29" s="25">
        <v>1.2</v>
      </c>
      <c r="F29" s="25">
        <v>0</v>
      </c>
      <c r="G29" s="25">
        <v>6</v>
      </c>
      <c r="H29" s="25"/>
      <c r="I29" s="25"/>
      <c r="J29" s="25"/>
      <c r="K29" s="26"/>
      <c r="L29" s="18">
        <f t="shared" si="0"/>
        <v>0</v>
      </c>
      <c r="M29" s="14" t="s">
        <v>9</v>
      </c>
      <c r="N29" s="25">
        <v>6</v>
      </c>
      <c r="O29" s="26" t="s">
        <v>13</v>
      </c>
      <c r="P29" s="27">
        <v>19.7</v>
      </c>
      <c r="Q29" s="25">
        <v>1.68</v>
      </c>
      <c r="R29" s="25">
        <v>2</v>
      </c>
      <c r="S29" s="25">
        <v>4</v>
      </c>
      <c r="T29" s="25"/>
      <c r="U29" s="25"/>
      <c r="V29" s="25"/>
      <c r="W29" s="26"/>
      <c r="X29" s="18">
        <f t="shared" si="1"/>
        <v>0</v>
      </c>
      <c r="Y29" s="24" t="s">
        <v>10</v>
      </c>
      <c r="Z29" s="25">
        <v>6</v>
      </c>
      <c r="AA29" s="26" t="s">
        <v>13</v>
      </c>
      <c r="AB29" s="27">
        <v>16.7</v>
      </c>
      <c r="AC29" s="25">
        <v>1.37</v>
      </c>
      <c r="AD29" s="25">
        <v>5</v>
      </c>
      <c r="AE29" s="25">
        <v>1</v>
      </c>
      <c r="AF29" s="25"/>
      <c r="AG29" s="25"/>
      <c r="AH29" s="25"/>
      <c r="AI29" s="26"/>
      <c r="AJ29" s="18">
        <f t="shared" si="2"/>
        <v>0</v>
      </c>
    </row>
    <row r="30" spans="1:36" x14ac:dyDescent="0.25">
      <c r="A30" s="24" t="s">
        <v>7</v>
      </c>
      <c r="B30" s="25">
        <v>6</v>
      </c>
      <c r="C30" s="26" t="s">
        <v>8</v>
      </c>
      <c r="D30" s="27">
        <v>18.8</v>
      </c>
      <c r="E30" s="25">
        <v>1.41</v>
      </c>
      <c r="F30" s="25">
        <v>6</v>
      </c>
      <c r="G30" s="25">
        <v>0</v>
      </c>
      <c r="H30" s="25"/>
      <c r="I30" s="25"/>
      <c r="J30" s="25"/>
      <c r="K30" s="26"/>
      <c r="L30" s="18">
        <f t="shared" si="0"/>
        <v>0</v>
      </c>
      <c r="M30" s="14" t="s">
        <v>9</v>
      </c>
      <c r="N30" s="25">
        <v>6</v>
      </c>
      <c r="O30" s="26" t="s">
        <v>8</v>
      </c>
      <c r="P30" s="27">
        <v>19.600000000000001</v>
      </c>
      <c r="Q30" s="25">
        <v>1.63</v>
      </c>
      <c r="R30" s="25">
        <v>2</v>
      </c>
      <c r="S30" s="25">
        <v>3</v>
      </c>
      <c r="T30" s="25"/>
      <c r="U30" s="25"/>
      <c r="V30" s="25"/>
      <c r="W30" s="26">
        <v>1</v>
      </c>
      <c r="X30" s="18">
        <f t="shared" si="1"/>
        <v>1</v>
      </c>
      <c r="Y30" s="24" t="s">
        <v>10</v>
      </c>
      <c r="Z30" s="25">
        <v>6</v>
      </c>
      <c r="AA30" s="26" t="s">
        <v>8</v>
      </c>
      <c r="AB30" s="27">
        <v>17.600000000000001</v>
      </c>
      <c r="AC30" s="25">
        <v>1.54</v>
      </c>
      <c r="AD30" s="25">
        <v>3</v>
      </c>
      <c r="AE30" s="25">
        <v>2</v>
      </c>
      <c r="AF30" s="25"/>
      <c r="AG30" s="25"/>
      <c r="AH30" s="25"/>
      <c r="AI30" s="26"/>
      <c r="AJ30" s="18">
        <f t="shared" si="2"/>
        <v>0</v>
      </c>
    </row>
    <row r="31" spans="1:36" x14ac:dyDescent="0.25">
      <c r="A31" s="24" t="s">
        <v>7</v>
      </c>
      <c r="B31" s="25">
        <v>6</v>
      </c>
      <c r="C31" s="26" t="s">
        <v>11</v>
      </c>
      <c r="D31" s="27">
        <v>18</v>
      </c>
      <c r="E31" s="25">
        <v>1.4</v>
      </c>
      <c r="F31" s="25">
        <v>0</v>
      </c>
      <c r="G31" s="25">
        <v>6</v>
      </c>
      <c r="H31" s="25"/>
      <c r="I31" s="25"/>
      <c r="J31" s="25"/>
      <c r="K31" s="26"/>
      <c r="L31" s="18">
        <f t="shared" si="0"/>
        <v>0</v>
      </c>
      <c r="M31" s="14" t="s">
        <v>9</v>
      </c>
      <c r="N31" s="25">
        <v>6</v>
      </c>
      <c r="O31" s="26" t="s">
        <v>11</v>
      </c>
      <c r="P31" s="27">
        <v>16.2</v>
      </c>
      <c r="Q31" s="25">
        <v>1.01</v>
      </c>
      <c r="R31" s="25">
        <v>4</v>
      </c>
      <c r="S31" s="25">
        <v>2</v>
      </c>
      <c r="T31" s="25"/>
      <c r="U31" s="25"/>
      <c r="V31" s="25"/>
      <c r="W31" s="26"/>
      <c r="X31" s="18">
        <f t="shared" si="1"/>
        <v>0</v>
      </c>
      <c r="Y31" s="24" t="s">
        <v>10</v>
      </c>
      <c r="Z31" s="25">
        <v>6</v>
      </c>
      <c r="AA31" s="26" t="s">
        <v>11</v>
      </c>
      <c r="AB31" s="27">
        <v>17.100000000000001</v>
      </c>
      <c r="AC31" s="25">
        <v>1.36</v>
      </c>
      <c r="AD31" s="25">
        <v>6</v>
      </c>
      <c r="AE31" s="25">
        <v>0</v>
      </c>
      <c r="AF31" s="25"/>
      <c r="AG31" s="25"/>
      <c r="AH31" s="25"/>
      <c r="AI31" s="26"/>
      <c r="AJ31" s="18">
        <f t="shared" si="2"/>
        <v>0</v>
      </c>
    </row>
    <row r="32" spans="1:36" x14ac:dyDescent="0.25">
      <c r="A32" s="24" t="s">
        <v>7</v>
      </c>
      <c r="B32" s="25">
        <v>6</v>
      </c>
      <c r="C32" s="26" t="s">
        <v>12</v>
      </c>
      <c r="D32" s="27">
        <v>16.8</v>
      </c>
      <c r="E32" s="25">
        <v>1.1200000000000001</v>
      </c>
      <c r="F32" s="25">
        <v>0</v>
      </c>
      <c r="G32" s="25">
        <v>6</v>
      </c>
      <c r="H32" s="25"/>
      <c r="I32" s="25"/>
      <c r="J32" s="25"/>
      <c r="K32" s="26"/>
      <c r="L32" s="18">
        <f t="shared" si="0"/>
        <v>0</v>
      </c>
      <c r="M32" s="14" t="s">
        <v>9</v>
      </c>
      <c r="N32" s="25">
        <v>6</v>
      </c>
      <c r="O32" s="26" t="s">
        <v>12</v>
      </c>
      <c r="P32" s="27">
        <v>18.600000000000001</v>
      </c>
      <c r="Q32" s="25">
        <v>1.54</v>
      </c>
      <c r="R32" s="25">
        <v>1</v>
      </c>
      <c r="S32" s="25">
        <v>4</v>
      </c>
      <c r="T32" s="25"/>
      <c r="U32" s="25"/>
      <c r="V32" s="25"/>
      <c r="W32" s="26"/>
      <c r="X32" s="18">
        <f t="shared" si="1"/>
        <v>0</v>
      </c>
      <c r="Y32" s="24" t="s">
        <v>10</v>
      </c>
      <c r="Z32" s="25">
        <v>6</v>
      </c>
      <c r="AA32" s="26" t="s">
        <v>12</v>
      </c>
      <c r="AB32" s="27">
        <v>17.399999999999999</v>
      </c>
      <c r="AC32" s="25">
        <v>1.42</v>
      </c>
      <c r="AD32" s="25">
        <v>4</v>
      </c>
      <c r="AE32" s="25">
        <v>2</v>
      </c>
      <c r="AF32" s="25"/>
      <c r="AG32" s="25"/>
      <c r="AH32" s="25"/>
      <c r="AI32" s="26"/>
      <c r="AJ32" s="18">
        <f t="shared" si="2"/>
        <v>0</v>
      </c>
    </row>
    <row r="33" spans="1:36" x14ac:dyDescent="0.25">
      <c r="A33" s="24" t="s">
        <v>7</v>
      </c>
      <c r="B33" s="25">
        <v>6</v>
      </c>
      <c r="C33" s="26" t="s">
        <v>13</v>
      </c>
      <c r="D33" s="27">
        <v>16.2</v>
      </c>
      <c r="E33" s="25">
        <v>0.99</v>
      </c>
      <c r="F33" s="25">
        <v>0</v>
      </c>
      <c r="G33" s="25">
        <v>6</v>
      </c>
      <c r="H33" s="25"/>
      <c r="I33" s="25"/>
      <c r="J33" s="25"/>
      <c r="K33" s="26"/>
      <c r="L33" s="18">
        <f t="shared" si="0"/>
        <v>0</v>
      </c>
      <c r="M33" s="14" t="s">
        <v>9</v>
      </c>
      <c r="N33" s="25">
        <v>6</v>
      </c>
      <c r="O33" s="26" t="s">
        <v>13</v>
      </c>
      <c r="P33" s="27">
        <v>16.899999999999999</v>
      </c>
      <c r="Q33" s="25">
        <v>1.25</v>
      </c>
      <c r="R33" s="25">
        <v>3</v>
      </c>
      <c r="S33" s="25">
        <v>3</v>
      </c>
      <c r="T33" s="25"/>
      <c r="U33" s="25"/>
      <c r="V33" s="25"/>
      <c r="W33" s="26"/>
      <c r="X33" s="18">
        <f t="shared" si="1"/>
        <v>0</v>
      </c>
      <c r="Y33" s="24" t="s">
        <v>10</v>
      </c>
      <c r="Z33" s="25">
        <v>6</v>
      </c>
      <c r="AA33" s="26" t="s">
        <v>13</v>
      </c>
      <c r="AB33" s="27">
        <v>20.100000000000001</v>
      </c>
      <c r="AC33" s="25">
        <v>1.79</v>
      </c>
      <c r="AD33" s="25">
        <v>2</v>
      </c>
      <c r="AE33" s="25">
        <v>3</v>
      </c>
      <c r="AF33" s="25"/>
      <c r="AG33" s="25"/>
      <c r="AH33" s="25">
        <v>1</v>
      </c>
      <c r="AI33" s="26"/>
      <c r="AJ33" s="18">
        <f t="shared" si="2"/>
        <v>1</v>
      </c>
    </row>
    <row r="34" spans="1:36" x14ac:dyDescent="0.25">
      <c r="A34" s="24" t="s">
        <v>7</v>
      </c>
      <c r="B34" s="25">
        <v>6</v>
      </c>
      <c r="C34" s="26" t="s">
        <v>8</v>
      </c>
      <c r="D34" s="27">
        <v>16.7</v>
      </c>
      <c r="E34" s="25">
        <v>1.1200000000000001</v>
      </c>
      <c r="F34" s="25">
        <v>0</v>
      </c>
      <c r="G34" s="25">
        <v>6</v>
      </c>
      <c r="H34" s="25"/>
      <c r="I34" s="25"/>
      <c r="J34" s="25"/>
      <c r="K34" s="26"/>
      <c r="L34" s="18">
        <f t="shared" ref="L34:L65" si="3">SUM(H34:K34)</f>
        <v>0</v>
      </c>
      <c r="M34" s="14" t="s">
        <v>9</v>
      </c>
      <c r="N34" s="25">
        <v>6</v>
      </c>
      <c r="O34" s="26" t="s">
        <v>8</v>
      </c>
      <c r="P34" s="27">
        <v>17.899999999999999</v>
      </c>
      <c r="Q34" s="25">
        <v>1.36</v>
      </c>
      <c r="R34" s="25">
        <v>0</v>
      </c>
      <c r="S34" s="25">
        <v>6</v>
      </c>
      <c r="T34" s="25"/>
      <c r="U34" s="25"/>
      <c r="V34" s="25"/>
      <c r="W34" s="26"/>
      <c r="X34" s="18">
        <f t="shared" ref="X34:X65" si="4">SUM(T34:W34)</f>
        <v>0</v>
      </c>
      <c r="Y34" s="24" t="s">
        <v>10</v>
      </c>
      <c r="Z34" s="25">
        <v>6</v>
      </c>
      <c r="AA34" s="26" t="s">
        <v>8</v>
      </c>
      <c r="AB34" s="27">
        <v>16.100000000000001</v>
      </c>
      <c r="AC34" s="25">
        <v>1.07</v>
      </c>
      <c r="AD34" s="25">
        <v>4</v>
      </c>
      <c r="AE34" s="25">
        <v>1</v>
      </c>
      <c r="AF34" s="25"/>
      <c r="AG34" s="25"/>
      <c r="AH34" s="25"/>
      <c r="AI34" s="26">
        <v>1</v>
      </c>
      <c r="AJ34" s="18">
        <f t="shared" ref="AJ34:AJ65" si="5">SUM(AF34:AI34)</f>
        <v>1</v>
      </c>
    </row>
    <row r="35" spans="1:36" x14ac:dyDescent="0.25">
      <c r="A35" s="24" t="s">
        <v>7</v>
      </c>
      <c r="B35" s="25">
        <v>6</v>
      </c>
      <c r="C35" s="26" t="s">
        <v>11</v>
      </c>
      <c r="D35" s="27">
        <v>17</v>
      </c>
      <c r="E35" s="25">
        <v>1.1200000000000001</v>
      </c>
      <c r="F35" s="25">
        <v>1</v>
      </c>
      <c r="G35" s="25">
        <v>5</v>
      </c>
      <c r="H35" s="25"/>
      <c r="I35" s="25"/>
      <c r="J35" s="25"/>
      <c r="K35" s="26"/>
      <c r="L35" s="18">
        <f t="shared" si="3"/>
        <v>0</v>
      </c>
      <c r="M35" s="14" t="s">
        <v>9</v>
      </c>
      <c r="N35" s="25">
        <v>6</v>
      </c>
      <c r="O35" s="26" t="s">
        <v>11</v>
      </c>
      <c r="P35" s="27">
        <v>19.600000000000001</v>
      </c>
      <c r="Q35" s="25">
        <v>1.63</v>
      </c>
      <c r="R35" s="25">
        <v>3</v>
      </c>
      <c r="S35" s="25">
        <v>3</v>
      </c>
      <c r="T35" s="25"/>
      <c r="U35" s="25"/>
      <c r="V35" s="25"/>
      <c r="W35" s="26"/>
      <c r="X35" s="18">
        <f t="shared" si="4"/>
        <v>0</v>
      </c>
      <c r="Y35" s="24" t="s">
        <v>10</v>
      </c>
      <c r="Z35" s="25">
        <v>6</v>
      </c>
      <c r="AA35" s="26" t="s">
        <v>11</v>
      </c>
      <c r="AB35" s="27">
        <v>17.399999999999999</v>
      </c>
      <c r="AC35" s="25">
        <v>1.27</v>
      </c>
      <c r="AD35" s="25">
        <v>6</v>
      </c>
      <c r="AE35" s="25">
        <v>0</v>
      </c>
      <c r="AF35" s="25"/>
      <c r="AG35" s="25"/>
      <c r="AH35" s="25"/>
      <c r="AI35" s="26"/>
      <c r="AJ35" s="18">
        <f t="shared" si="5"/>
        <v>0</v>
      </c>
    </row>
    <row r="36" spans="1:36" x14ac:dyDescent="0.25">
      <c r="A36" s="24" t="s">
        <v>7</v>
      </c>
      <c r="B36" s="25">
        <v>6</v>
      </c>
      <c r="C36" s="26" t="s">
        <v>12</v>
      </c>
      <c r="D36" s="27">
        <v>16</v>
      </c>
      <c r="E36" s="25">
        <v>0.94</v>
      </c>
      <c r="F36" s="25">
        <v>1</v>
      </c>
      <c r="G36" s="25">
        <v>5</v>
      </c>
      <c r="H36" s="25"/>
      <c r="I36" s="25"/>
      <c r="J36" s="25"/>
      <c r="K36" s="26"/>
      <c r="L36" s="18">
        <f t="shared" si="3"/>
        <v>0</v>
      </c>
      <c r="M36" s="14" t="s">
        <v>9</v>
      </c>
      <c r="N36" s="25">
        <v>6</v>
      </c>
      <c r="O36" s="26" t="s">
        <v>12</v>
      </c>
      <c r="P36" s="27">
        <v>18</v>
      </c>
      <c r="Q36" s="25">
        <v>1.31</v>
      </c>
      <c r="R36" s="25">
        <v>3</v>
      </c>
      <c r="S36" s="25">
        <v>3</v>
      </c>
      <c r="T36" s="25"/>
      <c r="U36" s="25"/>
      <c r="V36" s="25"/>
      <c r="W36" s="26"/>
      <c r="X36" s="18">
        <f t="shared" si="4"/>
        <v>0</v>
      </c>
      <c r="Y36" s="24" t="s">
        <v>10</v>
      </c>
      <c r="Z36" s="25">
        <v>6</v>
      </c>
      <c r="AA36" s="26" t="s">
        <v>12</v>
      </c>
      <c r="AB36" s="27">
        <v>16.7</v>
      </c>
      <c r="AC36" s="25">
        <v>1.23</v>
      </c>
      <c r="AD36" s="25">
        <v>6</v>
      </c>
      <c r="AE36" s="25">
        <v>0</v>
      </c>
      <c r="AF36" s="25"/>
      <c r="AG36" s="25"/>
      <c r="AH36" s="25"/>
      <c r="AI36" s="26"/>
      <c r="AJ36" s="18">
        <f t="shared" si="5"/>
        <v>0</v>
      </c>
    </row>
    <row r="37" spans="1:36" ht="15.75" thickBot="1" x14ac:dyDescent="0.3">
      <c r="A37" s="67" t="s">
        <v>7</v>
      </c>
      <c r="B37" s="36">
        <v>6</v>
      </c>
      <c r="C37" s="37" t="s">
        <v>13</v>
      </c>
      <c r="D37" s="38">
        <v>20.8</v>
      </c>
      <c r="E37" s="36">
        <v>1.82</v>
      </c>
      <c r="F37" s="36">
        <v>0</v>
      </c>
      <c r="G37" s="36">
        <v>6</v>
      </c>
      <c r="H37" s="36"/>
      <c r="I37" s="36"/>
      <c r="J37" s="36"/>
      <c r="K37" s="37"/>
      <c r="L37" s="18">
        <f t="shared" si="3"/>
        <v>0</v>
      </c>
      <c r="M37" s="35" t="s">
        <v>9</v>
      </c>
      <c r="N37" s="36">
        <v>6</v>
      </c>
      <c r="O37" s="37" t="s">
        <v>13</v>
      </c>
      <c r="P37" s="38">
        <v>17.600000000000001</v>
      </c>
      <c r="Q37" s="36">
        <v>1.34</v>
      </c>
      <c r="R37" s="36">
        <v>3</v>
      </c>
      <c r="S37" s="36">
        <v>3</v>
      </c>
      <c r="T37" s="36"/>
      <c r="U37" s="36"/>
      <c r="V37" s="36"/>
      <c r="W37" s="37"/>
      <c r="X37" s="18">
        <f t="shared" si="4"/>
        <v>0</v>
      </c>
      <c r="Y37" s="31" t="s">
        <v>10</v>
      </c>
      <c r="Z37" s="32">
        <v>6</v>
      </c>
      <c r="AA37" s="33" t="s">
        <v>13</v>
      </c>
      <c r="AB37" s="34">
        <v>16.7</v>
      </c>
      <c r="AC37" s="32">
        <v>1.27</v>
      </c>
      <c r="AD37" s="32">
        <v>5</v>
      </c>
      <c r="AE37" s="32">
        <v>1</v>
      </c>
      <c r="AF37" s="32"/>
      <c r="AG37" s="32"/>
      <c r="AH37" s="32"/>
      <c r="AI37" s="33"/>
      <c r="AJ37" s="18">
        <f t="shared" si="5"/>
        <v>0</v>
      </c>
    </row>
    <row r="38" spans="1:36" x14ac:dyDescent="0.25">
      <c r="A38" s="39" t="s">
        <v>7</v>
      </c>
      <c r="B38" s="40">
        <v>12</v>
      </c>
      <c r="C38" s="41" t="s">
        <v>8</v>
      </c>
      <c r="D38" s="44">
        <v>20.8</v>
      </c>
      <c r="E38" s="40">
        <v>1.82</v>
      </c>
      <c r="F38" s="40">
        <v>4</v>
      </c>
      <c r="G38" s="40">
        <v>8</v>
      </c>
      <c r="H38" s="40"/>
      <c r="I38" s="40"/>
      <c r="J38" s="40"/>
      <c r="K38" s="41"/>
      <c r="L38" s="18">
        <f t="shared" si="3"/>
        <v>0</v>
      </c>
      <c r="M38" s="68" t="s">
        <v>9</v>
      </c>
      <c r="N38" s="69">
        <v>12</v>
      </c>
      <c r="O38" s="70" t="s">
        <v>8</v>
      </c>
      <c r="P38" s="71">
        <v>18.399999999999999</v>
      </c>
      <c r="Q38" s="69">
        <v>1.55</v>
      </c>
      <c r="R38" s="69">
        <v>10</v>
      </c>
      <c r="S38" s="69">
        <v>2</v>
      </c>
      <c r="T38" s="69"/>
      <c r="U38" s="69"/>
      <c r="V38" s="69"/>
      <c r="W38" s="70"/>
      <c r="X38" s="18">
        <f t="shared" si="4"/>
        <v>0</v>
      </c>
      <c r="Y38" s="45" t="s">
        <v>10</v>
      </c>
      <c r="Z38" s="46">
        <v>12</v>
      </c>
      <c r="AA38" s="47" t="s">
        <v>8</v>
      </c>
      <c r="AB38" s="48">
        <v>18.100000000000001</v>
      </c>
      <c r="AC38" s="46">
        <v>1.54</v>
      </c>
      <c r="AD38" s="46">
        <v>12</v>
      </c>
      <c r="AE38" s="46">
        <v>0</v>
      </c>
      <c r="AF38" s="46"/>
      <c r="AG38" s="46"/>
      <c r="AH38" s="46"/>
      <c r="AI38" s="47"/>
      <c r="AJ38" s="18">
        <f t="shared" si="5"/>
        <v>0</v>
      </c>
    </row>
    <row r="39" spans="1:36" x14ac:dyDescent="0.25">
      <c r="A39" s="49" t="s">
        <v>7</v>
      </c>
      <c r="B39" s="50">
        <v>12</v>
      </c>
      <c r="C39" s="51" t="s">
        <v>11</v>
      </c>
      <c r="D39" s="52">
        <v>17.600000000000001</v>
      </c>
      <c r="E39" s="50">
        <v>1.33</v>
      </c>
      <c r="F39" s="50">
        <v>5</v>
      </c>
      <c r="G39" s="50">
        <v>7</v>
      </c>
      <c r="H39" s="50"/>
      <c r="I39" s="50"/>
      <c r="J39" s="50"/>
      <c r="K39" s="51"/>
      <c r="L39" s="18">
        <f t="shared" si="3"/>
        <v>0</v>
      </c>
      <c r="M39" s="72" t="s">
        <v>9</v>
      </c>
      <c r="N39" s="73">
        <v>12</v>
      </c>
      <c r="O39" s="74" t="s">
        <v>11</v>
      </c>
      <c r="P39" s="75">
        <v>16</v>
      </c>
      <c r="Q39" s="73">
        <v>1.07</v>
      </c>
      <c r="R39" s="73">
        <v>10</v>
      </c>
      <c r="S39" s="73">
        <v>1</v>
      </c>
      <c r="T39" s="73">
        <v>1</v>
      </c>
      <c r="U39" s="73"/>
      <c r="V39" s="73"/>
      <c r="W39" s="74"/>
      <c r="X39" s="18">
        <f t="shared" si="4"/>
        <v>1</v>
      </c>
      <c r="Y39" s="49" t="s">
        <v>10</v>
      </c>
      <c r="Z39" s="50">
        <v>12</v>
      </c>
      <c r="AA39" s="51" t="s">
        <v>11</v>
      </c>
      <c r="AB39" s="52">
        <v>17.600000000000001</v>
      </c>
      <c r="AC39" s="50">
        <v>1.43</v>
      </c>
      <c r="AD39" s="50">
        <v>12</v>
      </c>
      <c r="AE39" s="50">
        <v>0</v>
      </c>
      <c r="AF39" s="50"/>
      <c r="AG39" s="50"/>
      <c r="AH39" s="50"/>
      <c r="AI39" s="51"/>
      <c r="AJ39" s="18">
        <f t="shared" si="5"/>
        <v>0</v>
      </c>
    </row>
    <row r="40" spans="1:36" x14ac:dyDescent="0.25">
      <c r="A40" s="49" t="s">
        <v>7</v>
      </c>
      <c r="B40" s="50">
        <v>12</v>
      </c>
      <c r="C40" s="51" t="s">
        <v>12</v>
      </c>
      <c r="D40" s="52">
        <v>17.2</v>
      </c>
      <c r="E40" s="50">
        <v>1.25</v>
      </c>
      <c r="F40" s="50">
        <v>4</v>
      </c>
      <c r="G40" s="50">
        <v>7</v>
      </c>
      <c r="H40" s="50"/>
      <c r="I40" s="50"/>
      <c r="J40" s="50"/>
      <c r="K40" s="51">
        <v>1</v>
      </c>
      <c r="L40" s="18">
        <f t="shared" si="3"/>
        <v>1</v>
      </c>
      <c r="M40" s="72" t="s">
        <v>9</v>
      </c>
      <c r="N40" s="73">
        <v>12</v>
      </c>
      <c r="O40" s="74" t="s">
        <v>12</v>
      </c>
      <c r="P40" s="75">
        <v>17.3</v>
      </c>
      <c r="Q40" s="73">
        <v>1.9</v>
      </c>
      <c r="R40" s="73">
        <v>8</v>
      </c>
      <c r="S40" s="73">
        <v>3</v>
      </c>
      <c r="T40" s="73"/>
      <c r="U40" s="73"/>
      <c r="V40" s="73"/>
      <c r="W40" s="74">
        <v>1</v>
      </c>
      <c r="X40" s="18">
        <f t="shared" si="4"/>
        <v>1</v>
      </c>
      <c r="Y40" s="49" t="s">
        <v>10</v>
      </c>
      <c r="Z40" s="50">
        <v>12</v>
      </c>
      <c r="AA40" s="51" t="s">
        <v>12</v>
      </c>
      <c r="AB40" s="52">
        <v>17</v>
      </c>
      <c r="AC40" s="50">
        <v>1.32</v>
      </c>
      <c r="AD40" s="50">
        <v>10</v>
      </c>
      <c r="AE40" s="50">
        <v>2</v>
      </c>
      <c r="AF40" s="50"/>
      <c r="AG40" s="50"/>
      <c r="AH40" s="50"/>
      <c r="AI40" s="51"/>
      <c r="AJ40" s="18">
        <f t="shared" si="5"/>
        <v>0</v>
      </c>
    </row>
    <row r="41" spans="1:36" x14ac:dyDescent="0.25">
      <c r="A41" s="49" t="s">
        <v>7</v>
      </c>
      <c r="B41" s="50">
        <v>12</v>
      </c>
      <c r="C41" s="51" t="s">
        <v>13</v>
      </c>
      <c r="D41" s="52">
        <v>16</v>
      </c>
      <c r="E41" s="50">
        <v>1.2</v>
      </c>
      <c r="F41" s="50">
        <v>8</v>
      </c>
      <c r="G41" s="50">
        <v>4</v>
      </c>
      <c r="H41" s="50"/>
      <c r="I41" s="50"/>
      <c r="J41" s="50"/>
      <c r="K41" s="51"/>
      <c r="L41" s="18">
        <f t="shared" si="3"/>
        <v>0</v>
      </c>
      <c r="M41" s="72" t="s">
        <v>9</v>
      </c>
      <c r="N41" s="73">
        <v>12</v>
      </c>
      <c r="O41" s="74" t="s">
        <v>13</v>
      </c>
      <c r="P41" s="75">
        <v>17.399999999999999</v>
      </c>
      <c r="Q41" s="73">
        <v>1.29</v>
      </c>
      <c r="R41" s="73">
        <v>11</v>
      </c>
      <c r="S41" s="73">
        <v>1</v>
      </c>
      <c r="T41" s="73"/>
      <c r="U41" s="73"/>
      <c r="V41" s="73"/>
      <c r="W41" s="74"/>
      <c r="X41" s="18">
        <f t="shared" si="4"/>
        <v>0</v>
      </c>
      <c r="Y41" s="49" t="s">
        <v>10</v>
      </c>
      <c r="Z41" s="50">
        <v>12</v>
      </c>
      <c r="AA41" s="51" t="s">
        <v>13</v>
      </c>
      <c r="AB41" s="52">
        <v>16</v>
      </c>
      <c r="AC41" s="50">
        <v>1.1000000000000001</v>
      </c>
      <c r="AD41" s="50">
        <v>11</v>
      </c>
      <c r="AE41" s="50">
        <v>1</v>
      </c>
      <c r="AF41" s="50"/>
      <c r="AG41" s="50"/>
      <c r="AH41" s="50"/>
      <c r="AI41" s="51"/>
      <c r="AJ41" s="18">
        <f t="shared" si="5"/>
        <v>0</v>
      </c>
    </row>
    <row r="42" spans="1:36" x14ac:dyDescent="0.25">
      <c r="A42" s="49" t="s">
        <v>7</v>
      </c>
      <c r="B42" s="50">
        <v>12</v>
      </c>
      <c r="C42" s="51" t="s">
        <v>8</v>
      </c>
      <c r="D42" s="52">
        <v>18</v>
      </c>
      <c r="E42" s="50">
        <v>1.4</v>
      </c>
      <c r="F42" s="50">
        <v>3</v>
      </c>
      <c r="G42" s="50">
        <v>8</v>
      </c>
      <c r="H42" s="50">
        <v>1</v>
      </c>
      <c r="I42" s="50"/>
      <c r="J42" s="50"/>
      <c r="K42" s="51"/>
      <c r="L42" s="18">
        <f t="shared" si="3"/>
        <v>1</v>
      </c>
      <c r="M42" s="72" t="s">
        <v>9</v>
      </c>
      <c r="N42" s="73">
        <v>12</v>
      </c>
      <c r="O42" s="74" t="s">
        <v>8</v>
      </c>
      <c r="P42" s="75">
        <v>18.399999999999999</v>
      </c>
      <c r="Q42" s="73">
        <v>1.51</v>
      </c>
      <c r="R42" s="73">
        <v>7</v>
      </c>
      <c r="S42" s="73">
        <v>5</v>
      </c>
      <c r="T42" s="73"/>
      <c r="U42" s="73"/>
      <c r="V42" s="73"/>
      <c r="W42" s="74"/>
      <c r="X42" s="18">
        <f t="shared" si="4"/>
        <v>0</v>
      </c>
      <c r="Y42" s="49" t="s">
        <v>10</v>
      </c>
      <c r="Z42" s="50">
        <v>12</v>
      </c>
      <c r="AA42" s="51" t="s">
        <v>8</v>
      </c>
      <c r="AB42" s="52">
        <v>16.600000000000001</v>
      </c>
      <c r="AC42" s="50">
        <v>1.23</v>
      </c>
      <c r="AD42" s="50">
        <v>12</v>
      </c>
      <c r="AE42" s="50">
        <v>0</v>
      </c>
      <c r="AF42" s="50"/>
      <c r="AG42" s="50"/>
      <c r="AH42" s="50"/>
      <c r="AI42" s="51"/>
      <c r="AJ42" s="18">
        <f t="shared" si="5"/>
        <v>0</v>
      </c>
    </row>
    <row r="43" spans="1:36" x14ac:dyDescent="0.25">
      <c r="A43" s="49" t="s">
        <v>7</v>
      </c>
      <c r="B43" s="50">
        <v>12</v>
      </c>
      <c r="C43" s="51" t="s">
        <v>11</v>
      </c>
      <c r="D43" s="52">
        <v>17</v>
      </c>
      <c r="E43" s="50">
        <v>1.19</v>
      </c>
      <c r="F43" s="50">
        <v>5</v>
      </c>
      <c r="G43" s="50">
        <v>7</v>
      </c>
      <c r="H43" s="50"/>
      <c r="I43" s="50"/>
      <c r="J43" s="50"/>
      <c r="K43" s="51"/>
      <c r="L43" s="18">
        <f t="shared" si="3"/>
        <v>0</v>
      </c>
      <c r="M43" s="72" t="s">
        <v>9</v>
      </c>
      <c r="N43" s="73">
        <v>12</v>
      </c>
      <c r="O43" s="74" t="s">
        <v>11</v>
      </c>
      <c r="P43" s="75">
        <v>18.100000000000001</v>
      </c>
      <c r="Q43" s="73">
        <v>1.45</v>
      </c>
      <c r="R43" s="73">
        <v>9</v>
      </c>
      <c r="S43" s="73">
        <v>3</v>
      </c>
      <c r="T43" s="73"/>
      <c r="U43" s="73"/>
      <c r="V43" s="73"/>
      <c r="W43" s="74"/>
      <c r="X43" s="18">
        <f t="shared" si="4"/>
        <v>0</v>
      </c>
      <c r="Y43" s="49" t="s">
        <v>10</v>
      </c>
      <c r="Z43" s="50">
        <v>12</v>
      </c>
      <c r="AA43" s="51" t="s">
        <v>11</v>
      </c>
      <c r="AB43" s="52">
        <v>16.8</v>
      </c>
      <c r="AC43" s="50">
        <v>1.32</v>
      </c>
      <c r="AD43" s="50">
        <v>11</v>
      </c>
      <c r="AE43" s="50">
        <v>1</v>
      </c>
      <c r="AF43" s="50"/>
      <c r="AG43" s="50"/>
      <c r="AH43" s="50"/>
      <c r="AI43" s="51"/>
      <c r="AJ43" s="18">
        <f t="shared" si="5"/>
        <v>0</v>
      </c>
    </row>
    <row r="44" spans="1:36" x14ac:dyDescent="0.25">
      <c r="A44" s="49" t="s">
        <v>7</v>
      </c>
      <c r="B44" s="50">
        <v>12</v>
      </c>
      <c r="C44" s="51" t="s">
        <v>12</v>
      </c>
      <c r="D44" s="52">
        <v>17.600000000000001</v>
      </c>
      <c r="E44" s="50">
        <v>1.38</v>
      </c>
      <c r="F44" s="50">
        <v>6</v>
      </c>
      <c r="G44" s="50">
        <v>5</v>
      </c>
      <c r="H44" s="50">
        <v>1</v>
      </c>
      <c r="I44" s="50"/>
      <c r="J44" s="50"/>
      <c r="K44" s="51"/>
      <c r="L44" s="18">
        <f t="shared" si="3"/>
        <v>1</v>
      </c>
      <c r="M44" s="72" t="s">
        <v>9</v>
      </c>
      <c r="N44" s="73">
        <v>12</v>
      </c>
      <c r="O44" s="74" t="s">
        <v>12</v>
      </c>
      <c r="P44" s="75">
        <v>16.100000000000001</v>
      </c>
      <c r="Q44" s="73">
        <v>1.04</v>
      </c>
      <c r="R44" s="73">
        <v>9</v>
      </c>
      <c r="S44" s="73">
        <v>2</v>
      </c>
      <c r="T44" s="73">
        <v>1</v>
      </c>
      <c r="U44" s="73"/>
      <c r="V44" s="73"/>
      <c r="W44" s="74"/>
      <c r="X44" s="18">
        <f t="shared" si="4"/>
        <v>1</v>
      </c>
      <c r="Y44" s="49" t="s">
        <v>10</v>
      </c>
      <c r="Z44" s="50">
        <v>12</v>
      </c>
      <c r="AA44" s="51" t="s">
        <v>12</v>
      </c>
      <c r="AB44" s="52">
        <v>20.100000000000001</v>
      </c>
      <c r="AC44" s="50">
        <v>2.0699999999999998</v>
      </c>
      <c r="AD44" s="50">
        <v>8</v>
      </c>
      <c r="AE44" s="50">
        <v>2</v>
      </c>
      <c r="AF44" s="50"/>
      <c r="AG44" s="50"/>
      <c r="AH44" s="50">
        <v>2</v>
      </c>
      <c r="AI44" s="51"/>
      <c r="AJ44" s="18">
        <f t="shared" si="5"/>
        <v>2</v>
      </c>
    </row>
    <row r="45" spans="1:36" x14ac:dyDescent="0.25">
      <c r="A45" s="49" t="s">
        <v>7</v>
      </c>
      <c r="B45" s="50">
        <v>12</v>
      </c>
      <c r="C45" s="51" t="s">
        <v>13</v>
      </c>
      <c r="D45" s="52">
        <v>17.3</v>
      </c>
      <c r="E45" s="50">
        <v>1.17</v>
      </c>
      <c r="F45" s="50">
        <v>2</v>
      </c>
      <c r="G45" s="50">
        <v>9</v>
      </c>
      <c r="H45" s="50"/>
      <c r="I45" s="50"/>
      <c r="J45" s="50"/>
      <c r="K45" s="51">
        <v>1</v>
      </c>
      <c r="L45" s="18">
        <f t="shared" si="3"/>
        <v>1</v>
      </c>
      <c r="M45" s="72" t="s">
        <v>9</v>
      </c>
      <c r="N45" s="73">
        <v>12</v>
      </c>
      <c r="O45" s="74" t="s">
        <v>13</v>
      </c>
      <c r="P45" s="75">
        <v>20.6</v>
      </c>
      <c r="Q45" s="73">
        <v>2.1</v>
      </c>
      <c r="R45" s="73">
        <v>8</v>
      </c>
      <c r="S45" s="73">
        <v>4</v>
      </c>
      <c r="T45" s="73"/>
      <c r="U45" s="73"/>
      <c r="V45" s="73"/>
      <c r="W45" s="74"/>
      <c r="X45" s="18">
        <f t="shared" si="4"/>
        <v>0</v>
      </c>
      <c r="Y45" s="49" t="s">
        <v>10</v>
      </c>
      <c r="Z45" s="50">
        <v>12</v>
      </c>
      <c r="AA45" s="51" t="s">
        <v>13</v>
      </c>
      <c r="AB45" s="52">
        <v>19.7</v>
      </c>
      <c r="AC45" s="50">
        <v>1.84</v>
      </c>
      <c r="AD45" s="50">
        <v>11</v>
      </c>
      <c r="AE45" s="50">
        <v>1</v>
      </c>
      <c r="AF45" s="50"/>
      <c r="AG45" s="50"/>
      <c r="AH45" s="50"/>
      <c r="AI45" s="51"/>
      <c r="AJ45" s="18">
        <f t="shared" si="5"/>
        <v>0</v>
      </c>
    </row>
    <row r="46" spans="1:36" x14ac:dyDescent="0.25">
      <c r="A46" s="49" t="s">
        <v>7</v>
      </c>
      <c r="B46" s="50">
        <v>12</v>
      </c>
      <c r="C46" s="51" t="s">
        <v>8</v>
      </c>
      <c r="D46" s="52">
        <v>18</v>
      </c>
      <c r="E46" s="50">
        <v>1.33</v>
      </c>
      <c r="F46" s="50">
        <v>4</v>
      </c>
      <c r="G46" s="50">
        <v>8</v>
      </c>
      <c r="H46" s="50"/>
      <c r="I46" s="50"/>
      <c r="J46" s="50"/>
      <c r="K46" s="51"/>
      <c r="L46" s="18">
        <f t="shared" si="3"/>
        <v>0</v>
      </c>
      <c r="M46" s="72" t="s">
        <v>9</v>
      </c>
      <c r="N46" s="73">
        <v>12</v>
      </c>
      <c r="O46" s="74" t="s">
        <v>8</v>
      </c>
      <c r="P46" s="75">
        <v>17.899999999999999</v>
      </c>
      <c r="Q46" s="73">
        <v>1.18</v>
      </c>
      <c r="R46" s="73">
        <v>9</v>
      </c>
      <c r="S46" s="73">
        <v>3</v>
      </c>
      <c r="T46" s="73"/>
      <c r="U46" s="73"/>
      <c r="V46" s="73"/>
      <c r="W46" s="74"/>
      <c r="X46" s="18">
        <f t="shared" si="4"/>
        <v>0</v>
      </c>
      <c r="Y46" s="49" t="s">
        <v>10</v>
      </c>
      <c r="Z46" s="50">
        <v>12</v>
      </c>
      <c r="AA46" s="51" t="s">
        <v>8</v>
      </c>
      <c r="AB46" s="52">
        <v>16.600000000000001</v>
      </c>
      <c r="AC46" s="50">
        <v>1.0900000000000001</v>
      </c>
      <c r="AD46" s="50">
        <v>12</v>
      </c>
      <c r="AE46" s="50">
        <v>0</v>
      </c>
      <c r="AF46" s="50"/>
      <c r="AG46" s="50"/>
      <c r="AH46" s="50"/>
      <c r="AI46" s="51"/>
      <c r="AJ46" s="18">
        <f t="shared" si="5"/>
        <v>0</v>
      </c>
    </row>
    <row r="47" spans="1:36" x14ac:dyDescent="0.25">
      <c r="A47" s="49" t="s">
        <v>7</v>
      </c>
      <c r="B47" s="50">
        <v>12</v>
      </c>
      <c r="C47" s="51" t="s">
        <v>11</v>
      </c>
      <c r="D47" s="52">
        <v>20.7</v>
      </c>
      <c r="E47" s="50">
        <v>1.98</v>
      </c>
      <c r="F47" s="50">
        <v>2</v>
      </c>
      <c r="G47" s="50">
        <v>10</v>
      </c>
      <c r="H47" s="50"/>
      <c r="I47" s="50"/>
      <c r="J47" s="50"/>
      <c r="K47" s="51"/>
      <c r="L47" s="18">
        <f t="shared" si="3"/>
        <v>0</v>
      </c>
      <c r="M47" s="72" t="s">
        <v>9</v>
      </c>
      <c r="N47" s="73">
        <v>12</v>
      </c>
      <c r="O47" s="74" t="s">
        <v>11</v>
      </c>
      <c r="P47" s="75">
        <v>16</v>
      </c>
      <c r="Q47" s="73">
        <v>1.05</v>
      </c>
      <c r="R47" s="73">
        <v>10</v>
      </c>
      <c r="S47" s="73">
        <v>2</v>
      </c>
      <c r="T47" s="73"/>
      <c r="U47" s="73"/>
      <c r="V47" s="73"/>
      <c r="W47" s="74"/>
      <c r="X47" s="18">
        <f t="shared" si="4"/>
        <v>0</v>
      </c>
      <c r="Y47" s="49" t="s">
        <v>10</v>
      </c>
      <c r="Z47" s="50">
        <v>12</v>
      </c>
      <c r="AA47" s="51" t="s">
        <v>11</v>
      </c>
      <c r="AB47" s="52">
        <v>18.2</v>
      </c>
      <c r="AC47" s="50">
        <v>16.3</v>
      </c>
      <c r="AD47" s="50">
        <v>12</v>
      </c>
      <c r="AE47" s="50">
        <v>0</v>
      </c>
      <c r="AF47" s="50"/>
      <c r="AG47" s="50"/>
      <c r="AH47" s="50"/>
      <c r="AI47" s="51"/>
      <c r="AJ47" s="18">
        <f t="shared" si="5"/>
        <v>0</v>
      </c>
    </row>
    <row r="48" spans="1:36" x14ac:dyDescent="0.25">
      <c r="A48" s="49" t="s">
        <v>7</v>
      </c>
      <c r="B48" s="50">
        <v>12</v>
      </c>
      <c r="C48" s="51" t="s">
        <v>12</v>
      </c>
      <c r="D48" s="52">
        <v>17.899999999999999</v>
      </c>
      <c r="E48" s="50">
        <v>1.42</v>
      </c>
      <c r="F48" s="50">
        <v>5</v>
      </c>
      <c r="G48" s="50">
        <v>7</v>
      </c>
      <c r="H48" s="50"/>
      <c r="I48" s="50"/>
      <c r="J48" s="50"/>
      <c r="K48" s="51"/>
      <c r="L48" s="18">
        <f t="shared" si="3"/>
        <v>0</v>
      </c>
      <c r="M48" s="72" t="s">
        <v>9</v>
      </c>
      <c r="N48" s="73">
        <v>12</v>
      </c>
      <c r="O48" s="74" t="s">
        <v>12</v>
      </c>
      <c r="P48" s="75">
        <v>20.2</v>
      </c>
      <c r="Q48" s="73">
        <v>1.83</v>
      </c>
      <c r="R48" s="73">
        <v>10</v>
      </c>
      <c r="S48" s="73">
        <v>2</v>
      </c>
      <c r="T48" s="73"/>
      <c r="U48" s="73"/>
      <c r="V48" s="73"/>
      <c r="W48" s="74"/>
      <c r="X48" s="18">
        <f t="shared" si="4"/>
        <v>0</v>
      </c>
      <c r="Y48" s="49" t="s">
        <v>10</v>
      </c>
      <c r="Z48" s="50">
        <v>12</v>
      </c>
      <c r="AA48" s="51" t="s">
        <v>12</v>
      </c>
      <c r="AB48" s="52">
        <v>16.899999999999999</v>
      </c>
      <c r="AC48" s="50">
        <v>1.31</v>
      </c>
      <c r="AD48" s="50">
        <v>10</v>
      </c>
      <c r="AE48" s="50">
        <v>2</v>
      </c>
      <c r="AF48" s="50"/>
      <c r="AG48" s="50"/>
      <c r="AH48" s="50"/>
      <c r="AI48" s="51"/>
      <c r="AJ48" s="18">
        <f t="shared" si="5"/>
        <v>0</v>
      </c>
    </row>
    <row r="49" spans="1:36" ht="15.75" thickBot="1" x14ac:dyDescent="0.3">
      <c r="A49" s="60" t="s">
        <v>7</v>
      </c>
      <c r="B49" s="61">
        <v>12</v>
      </c>
      <c r="C49" s="62" t="s">
        <v>13</v>
      </c>
      <c r="D49" s="63">
        <v>20.100000000000001</v>
      </c>
      <c r="E49" s="61">
        <v>1.7</v>
      </c>
      <c r="F49" s="61">
        <v>3</v>
      </c>
      <c r="G49" s="61">
        <v>9</v>
      </c>
      <c r="H49" s="61"/>
      <c r="I49" s="61"/>
      <c r="J49" s="61"/>
      <c r="K49" s="62"/>
      <c r="L49" s="18">
        <f t="shared" si="3"/>
        <v>0</v>
      </c>
      <c r="M49" s="76" t="s">
        <v>9</v>
      </c>
      <c r="N49" s="77">
        <v>12</v>
      </c>
      <c r="O49" s="78" t="s">
        <v>13</v>
      </c>
      <c r="P49" s="79">
        <v>16</v>
      </c>
      <c r="Q49" s="77">
        <v>1.03</v>
      </c>
      <c r="R49" s="77">
        <v>12</v>
      </c>
      <c r="S49" s="77">
        <v>0</v>
      </c>
      <c r="T49" s="77"/>
      <c r="U49" s="77"/>
      <c r="V49" s="77"/>
      <c r="W49" s="78"/>
      <c r="X49" s="18">
        <f t="shared" si="4"/>
        <v>0</v>
      </c>
      <c r="Y49" s="49" t="s">
        <v>10</v>
      </c>
      <c r="Z49" s="50">
        <v>12</v>
      </c>
      <c r="AA49" s="51" t="s">
        <v>13</v>
      </c>
      <c r="AB49" s="52">
        <v>16</v>
      </c>
      <c r="AC49" s="50">
        <v>1.1399999999999999</v>
      </c>
      <c r="AD49" s="50">
        <v>11</v>
      </c>
      <c r="AE49" s="50">
        <v>1</v>
      </c>
      <c r="AF49" s="50"/>
      <c r="AG49" s="50"/>
      <c r="AH49" s="50"/>
      <c r="AI49" s="51"/>
      <c r="AJ49" s="18">
        <f t="shared" si="5"/>
        <v>0</v>
      </c>
    </row>
    <row r="50" spans="1:36" x14ac:dyDescent="0.25">
      <c r="A50" s="68" t="s">
        <v>7</v>
      </c>
      <c r="B50" s="40">
        <v>18</v>
      </c>
      <c r="C50" s="41" t="s">
        <v>8</v>
      </c>
      <c r="D50" s="44">
        <v>17.3</v>
      </c>
      <c r="E50" s="40">
        <v>1.3</v>
      </c>
      <c r="F50" s="40">
        <v>12</v>
      </c>
      <c r="G50" s="40">
        <v>5</v>
      </c>
      <c r="H50" s="40"/>
      <c r="I50" s="40">
        <v>1</v>
      </c>
      <c r="J50" s="40"/>
      <c r="K50" s="41"/>
      <c r="L50" s="18">
        <f t="shared" si="3"/>
        <v>1</v>
      </c>
      <c r="M50" s="72" t="s">
        <v>9</v>
      </c>
      <c r="N50" s="40">
        <v>18</v>
      </c>
      <c r="O50" s="74" t="s">
        <v>8</v>
      </c>
      <c r="P50" s="80">
        <v>18.100000000000001</v>
      </c>
      <c r="Q50" s="73">
        <v>1.43</v>
      </c>
      <c r="R50" s="73">
        <v>8</v>
      </c>
      <c r="S50" s="73">
        <v>7</v>
      </c>
      <c r="T50" s="73"/>
      <c r="U50" s="73"/>
      <c r="V50" s="73">
        <v>2</v>
      </c>
      <c r="W50" s="74">
        <v>1</v>
      </c>
      <c r="X50" s="18">
        <f t="shared" si="4"/>
        <v>3</v>
      </c>
      <c r="Y50" s="81" t="s">
        <v>10</v>
      </c>
      <c r="Z50" s="73">
        <v>18</v>
      </c>
      <c r="AA50" s="74" t="s">
        <v>8</v>
      </c>
      <c r="AB50" s="75">
        <v>17.600000000000001</v>
      </c>
      <c r="AC50" s="73">
        <v>1.42</v>
      </c>
      <c r="AD50" s="73">
        <v>17</v>
      </c>
      <c r="AE50" s="73">
        <v>1</v>
      </c>
      <c r="AF50" s="73"/>
      <c r="AG50" s="73"/>
      <c r="AH50" s="73"/>
      <c r="AI50" s="74"/>
      <c r="AJ50" s="18">
        <f t="shared" si="5"/>
        <v>0</v>
      </c>
    </row>
    <row r="51" spans="1:36" x14ac:dyDescent="0.25">
      <c r="A51" s="81" t="s">
        <v>7</v>
      </c>
      <c r="B51" s="50">
        <v>18</v>
      </c>
      <c r="C51" s="51" t="s">
        <v>11</v>
      </c>
      <c r="D51" s="52">
        <v>19.600000000000001</v>
      </c>
      <c r="E51" s="50">
        <v>1.65</v>
      </c>
      <c r="F51" s="50">
        <v>18</v>
      </c>
      <c r="G51" s="50">
        <v>0</v>
      </c>
      <c r="H51" s="50"/>
      <c r="I51" s="50"/>
      <c r="J51" s="50"/>
      <c r="K51" s="51"/>
      <c r="L51" s="18">
        <f t="shared" si="3"/>
        <v>0</v>
      </c>
      <c r="M51" s="72" t="s">
        <v>9</v>
      </c>
      <c r="N51" s="50">
        <v>18</v>
      </c>
      <c r="O51" s="74" t="s">
        <v>11</v>
      </c>
      <c r="P51" s="75">
        <v>20.399999999999999</v>
      </c>
      <c r="Q51" s="73">
        <v>1.83</v>
      </c>
      <c r="R51" s="73">
        <v>15</v>
      </c>
      <c r="S51" s="73">
        <v>3</v>
      </c>
      <c r="T51" s="73"/>
      <c r="U51" s="73"/>
      <c r="V51" s="73"/>
      <c r="W51" s="74"/>
      <c r="X51" s="18">
        <f t="shared" si="4"/>
        <v>0</v>
      </c>
      <c r="Y51" s="81" t="s">
        <v>10</v>
      </c>
      <c r="Z51" s="73">
        <v>18</v>
      </c>
      <c r="AA51" s="74" t="s">
        <v>11</v>
      </c>
      <c r="AB51" s="82">
        <v>16.600000000000001</v>
      </c>
      <c r="AC51" s="83">
        <v>1.27</v>
      </c>
      <c r="AD51" s="73">
        <v>18</v>
      </c>
      <c r="AE51" s="73">
        <v>0</v>
      </c>
      <c r="AF51" s="73"/>
      <c r="AG51" s="73"/>
      <c r="AH51" s="73"/>
      <c r="AI51" s="74"/>
      <c r="AJ51" s="18">
        <f t="shared" si="5"/>
        <v>0</v>
      </c>
    </row>
    <row r="52" spans="1:36" x14ac:dyDescent="0.25">
      <c r="A52" s="81" t="s">
        <v>7</v>
      </c>
      <c r="B52" s="50">
        <v>18</v>
      </c>
      <c r="C52" s="51" t="s">
        <v>12</v>
      </c>
      <c r="D52" s="52">
        <v>16.3</v>
      </c>
      <c r="E52" s="50">
        <v>0.98</v>
      </c>
      <c r="F52" s="50">
        <v>12</v>
      </c>
      <c r="G52" s="50">
        <v>4</v>
      </c>
      <c r="H52" s="50"/>
      <c r="I52" s="50">
        <v>1</v>
      </c>
      <c r="J52" s="50"/>
      <c r="K52" s="51">
        <v>1</v>
      </c>
      <c r="L52" s="18">
        <f t="shared" si="3"/>
        <v>2</v>
      </c>
      <c r="M52" s="72" t="s">
        <v>9</v>
      </c>
      <c r="N52" s="50">
        <v>18</v>
      </c>
      <c r="O52" s="74" t="s">
        <v>12</v>
      </c>
      <c r="P52" s="75">
        <v>18.399999999999999</v>
      </c>
      <c r="Q52" s="73">
        <v>1.58</v>
      </c>
      <c r="R52" s="73">
        <v>13</v>
      </c>
      <c r="S52" s="73">
        <v>4</v>
      </c>
      <c r="T52" s="73"/>
      <c r="U52" s="73"/>
      <c r="V52" s="73"/>
      <c r="W52" s="74">
        <v>1</v>
      </c>
      <c r="X52" s="18">
        <f t="shared" si="4"/>
        <v>1</v>
      </c>
      <c r="Y52" s="81" t="s">
        <v>10</v>
      </c>
      <c r="Z52" s="73">
        <v>18</v>
      </c>
      <c r="AA52" s="74" t="s">
        <v>12</v>
      </c>
      <c r="AB52" s="75">
        <v>17.600000000000001</v>
      </c>
      <c r="AC52" s="84">
        <v>13881</v>
      </c>
      <c r="AD52" s="73">
        <v>14</v>
      </c>
      <c r="AE52" s="73">
        <v>4</v>
      </c>
      <c r="AF52" s="73"/>
      <c r="AG52" s="73"/>
      <c r="AH52" s="73"/>
      <c r="AI52" s="74"/>
      <c r="AJ52" s="18">
        <f t="shared" si="5"/>
        <v>0</v>
      </c>
    </row>
    <row r="53" spans="1:36" x14ac:dyDescent="0.25">
      <c r="A53" s="81" t="s">
        <v>7</v>
      </c>
      <c r="B53" s="50">
        <v>18</v>
      </c>
      <c r="C53" s="51" t="s">
        <v>13</v>
      </c>
      <c r="D53" s="52">
        <v>16</v>
      </c>
      <c r="E53" s="50">
        <v>1.04</v>
      </c>
      <c r="F53" s="50">
        <v>12</v>
      </c>
      <c r="G53" s="50">
        <v>5</v>
      </c>
      <c r="H53" s="50">
        <v>1</v>
      </c>
      <c r="I53" s="50"/>
      <c r="J53" s="50"/>
      <c r="K53" s="51"/>
      <c r="L53" s="18">
        <f t="shared" si="3"/>
        <v>1</v>
      </c>
      <c r="M53" s="72" t="s">
        <v>9</v>
      </c>
      <c r="N53" s="50">
        <v>18</v>
      </c>
      <c r="O53" s="74" t="s">
        <v>13</v>
      </c>
      <c r="P53" s="75">
        <v>17.7</v>
      </c>
      <c r="Q53" s="73">
        <v>1.37</v>
      </c>
      <c r="R53" s="73">
        <v>14</v>
      </c>
      <c r="S53" s="73">
        <v>2</v>
      </c>
      <c r="T53" s="73">
        <v>1</v>
      </c>
      <c r="U53" s="73"/>
      <c r="V53" s="73"/>
      <c r="W53" s="74">
        <v>1</v>
      </c>
      <c r="X53" s="18">
        <f t="shared" si="4"/>
        <v>2</v>
      </c>
      <c r="Y53" s="81" t="s">
        <v>10</v>
      </c>
      <c r="Z53" s="73">
        <v>18</v>
      </c>
      <c r="AA53" s="74" t="s">
        <v>13</v>
      </c>
      <c r="AB53" s="75">
        <v>17.3</v>
      </c>
      <c r="AC53" s="73">
        <v>1.31</v>
      </c>
      <c r="AD53" s="73">
        <v>18</v>
      </c>
      <c r="AE53" s="73">
        <v>0</v>
      </c>
      <c r="AF53" s="73"/>
      <c r="AG53" s="73"/>
      <c r="AH53" s="73"/>
      <c r="AI53" s="74"/>
      <c r="AJ53" s="18">
        <f t="shared" si="5"/>
        <v>0</v>
      </c>
    </row>
    <row r="54" spans="1:36" x14ac:dyDescent="0.25">
      <c r="A54" s="81" t="s">
        <v>7</v>
      </c>
      <c r="B54" s="50">
        <v>18</v>
      </c>
      <c r="C54" s="51" t="s">
        <v>8</v>
      </c>
      <c r="D54" s="52">
        <v>18.399999999999999</v>
      </c>
      <c r="E54" s="50">
        <v>1.46</v>
      </c>
      <c r="F54" s="50">
        <v>7</v>
      </c>
      <c r="G54" s="50">
        <v>11</v>
      </c>
      <c r="H54" s="50"/>
      <c r="I54" s="50"/>
      <c r="J54" s="50"/>
      <c r="K54" s="51"/>
      <c r="L54" s="18">
        <f t="shared" si="3"/>
        <v>0</v>
      </c>
      <c r="M54" s="72" t="s">
        <v>9</v>
      </c>
      <c r="N54" s="50">
        <v>18</v>
      </c>
      <c r="O54" s="74" t="s">
        <v>8</v>
      </c>
      <c r="P54" s="75">
        <v>16.100000000000001</v>
      </c>
      <c r="Q54" s="73">
        <v>0.96</v>
      </c>
      <c r="R54" s="73">
        <v>14</v>
      </c>
      <c r="S54" s="73">
        <v>2</v>
      </c>
      <c r="T54" s="73"/>
      <c r="U54" s="73"/>
      <c r="V54" s="73"/>
      <c r="W54" s="74">
        <v>2</v>
      </c>
      <c r="X54" s="18">
        <f t="shared" si="4"/>
        <v>2</v>
      </c>
      <c r="Y54" s="81" t="s">
        <v>10</v>
      </c>
      <c r="Z54" s="73">
        <v>18</v>
      </c>
      <c r="AA54" s="74" t="s">
        <v>8</v>
      </c>
      <c r="AB54" s="80">
        <v>17.3</v>
      </c>
      <c r="AC54" s="73">
        <v>1.39</v>
      </c>
      <c r="AD54" s="73">
        <v>15</v>
      </c>
      <c r="AE54" s="73">
        <v>2</v>
      </c>
      <c r="AF54" s="73"/>
      <c r="AG54" s="73"/>
      <c r="AH54" s="73"/>
      <c r="AI54" s="74">
        <v>1</v>
      </c>
      <c r="AJ54" s="18">
        <f t="shared" si="5"/>
        <v>1</v>
      </c>
    </row>
    <row r="55" spans="1:36" x14ac:dyDescent="0.25">
      <c r="A55" s="81" t="s">
        <v>7</v>
      </c>
      <c r="B55" s="50">
        <v>18</v>
      </c>
      <c r="C55" s="51" t="s">
        <v>11</v>
      </c>
      <c r="D55" s="52">
        <v>17.600000000000001</v>
      </c>
      <c r="E55" s="50">
        <v>1.35</v>
      </c>
      <c r="F55" s="50">
        <v>12</v>
      </c>
      <c r="G55" s="50">
        <v>6</v>
      </c>
      <c r="H55" s="50"/>
      <c r="I55" s="50"/>
      <c r="J55" s="50"/>
      <c r="K55" s="51"/>
      <c r="L55" s="18">
        <f t="shared" si="3"/>
        <v>0</v>
      </c>
      <c r="M55" s="72" t="s">
        <v>9</v>
      </c>
      <c r="N55" s="50">
        <v>18</v>
      </c>
      <c r="O55" s="74" t="s">
        <v>11</v>
      </c>
      <c r="P55" s="75">
        <v>17.899999999999999</v>
      </c>
      <c r="Q55" s="73">
        <v>1.32</v>
      </c>
      <c r="R55" s="73">
        <v>18</v>
      </c>
      <c r="S55" s="73">
        <v>0</v>
      </c>
      <c r="T55" s="73"/>
      <c r="U55" s="73"/>
      <c r="V55" s="73"/>
      <c r="W55" s="74"/>
      <c r="X55" s="18">
        <f t="shared" si="4"/>
        <v>0</v>
      </c>
      <c r="Y55" s="81" t="s">
        <v>10</v>
      </c>
      <c r="Z55" s="73">
        <v>18</v>
      </c>
      <c r="AA55" s="74" t="s">
        <v>11</v>
      </c>
      <c r="AB55" s="75">
        <v>17.399999999999999</v>
      </c>
      <c r="AC55" s="73">
        <v>1.39</v>
      </c>
      <c r="AD55" s="73">
        <v>16</v>
      </c>
      <c r="AE55" s="73">
        <v>1</v>
      </c>
      <c r="AF55" s="73"/>
      <c r="AG55" s="73"/>
      <c r="AH55" s="73"/>
      <c r="AI55" s="74">
        <v>1</v>
      </c>
      <c r="AJ55" s="18">
        <f t="shared" si="5"/>
        <v>1</v>
      </c>
    </row>
    <row r="56" spans="1:36" x14ac:dyDescent="0.25">
      <c r="A56" s="81" t="s">
        <v>7</v>
      </c>
      <c r="B56" s="50">
        <v>18</v>
      </c>
      <c r="C56" s="51" t="s">
        <v>12</v>
      </c>
      <c r="D56" s="52">
        <v>16.5</v>
      </c>
      <c r="E56" s="50">
        <v>1.1200000000000001</v>
      </c>
      <c r="F56" s="50">
        <v>10</v>
      </c>
      <c r="G56" s="50">
        <v>5</v>
      </c>
      <c r="H56" s="50">
        <v>1</v>
      </c>
      <c r="I56" s="50">
        <v>1</v>
      </c>
      <c r="J56" s="50"/>
      <c r="K56" s="51">
        <v>1</v>
      </c>
      <c r="L56" s="18">
        <f t="shared" si="3"/>
        <v>3</v>
      </c>
      <c r="M56" s="72" t="s">
        <v>9</v>
      </c>
      <c r="N56" s="50">
        <v>18</v>
      </c>
      <c r="O56" s="74" t="s">
        <v>12</v>
      </c>
      <c r="P56" s="75">
        <v>19.899999999999999</v>
      </c>
      <c r="Q56" s="73">
        <v>2</v>
      </c>
      <c r="R56" s="73">
        <v>7</v>
      </c>
      <c r="S56" s="73">
        <v>11</v>
      </c>
      <c r="T56" s="73"/>
      <c r="U56" s="73"/>
      <c r="V56" s="73"/>
      <c r="W56" s="74"/>
      <c r="X56" s="18">
        <f t="shared" si="4"/>
        <v>0</v>
      </c>
      <c r="Y56" s="81" t="s">
        <v>10</v>
      </c>
      <c r="Z56" s="73">
        <v>18</v>
      </c>
      <c r="AA56" s="74" t="s">
        <v>12</v>
      </c>
      <c r="AB56" s="75">
        <v>17</v>
      </c>
      <c r="AC56" s="73">
        <v>1.21</v>
      </c>
      <c r="AD56" s="73">
        <v>16</v>
      </c>
      <c r="AE56" s="73">
        <v>2</v>
      </c>
      <c r="AF56" s="73"/>
      <c r="AG56" s="73"/>
      <c r="AH56" s="73"/>
      <c r="AI56" s="74"/>
      <c r="AJ56" s="18">
        <f t="shared" si="5"/>
        <v>0</v>
      </c>
    </row>
    <row r="57" spans="1:36" x14ac:dyDescent="0.25">
      <c r="A57" s="81" t="s">
        <v>7</v>
      </c>
      <c r="B57" s="50">
        <v>18</v>
      </c>
      <c r="C57" s="51" t="s">
        <v>13</v>
      </c>
      <c r="D57" s="52">
        <v>16.899999999999999</v>
      </c>
      <c r="E57" s="50">
        <v>1.1000000000000001</v>
      </c>
      <c r="F57" s="50">
        <v>11</v>
      </c>
      <c r="G57" s="50">
        <v>7</v>
      </c>
      <c r="H57" s="52"/>
      <c r="I57" s="50"/>
      <c r="J57" s="50"/>
      <c r="K57" s="51"/>
      <c r="L57" s="18">
        <f t="shared" si="3"/>
        <v>0</v>
      </c>
      <c r="M57" s="72" t="s">
        <v>9</v>
      </c>
      <c r="N57" s="50">
        <v>18</v>
      </c>
      <c r="O57" s="74" t="s">
        <v>13</v>
      </c>
      <c r="P57" s="75">
        <v>19.899999999999999</v>
      </c>
      <c r="Q57" s="73">
        <v>1.8</v>
      </c>
      <c r="R57" s="73">
        <v>13</v>
      </c>
      <c r="S57" s="73">
        <v>5</v>
      </c>
      <c r="T57" s="73"/>
      <c r="U57" s="73"/>
      <c r="V57" s="73"/>
      <c r="W57" s="74"/>
      <c r="X57" s="18">
        <f t="shared" si="4"/>
        <v>0</v>
      </c>
      <c r="Y57" s="81" t="s">
        <v>10</v>
      </c>
      <c r="Z57" s="73">
        <v>18</v>
      </c>
      <c r="AA57" s="74" t="s">
        <v>13</v>
      </c>
      <c r="AB57" s="75">
        <v>17.8</v>
      </c>
      <c r="AC57" s="73">
        <v>1.53</v>
      </c>
      <c r="AD57" s="73">
        <v>15</v>
      </c>
      <c r="AE57" s="73">
        <v>2</v>
      </c>
      <c r="AF57" s="73">
        <v>1</v>
      </c>
      <c r="AG57" s="73"/>
      <c r="AH57" s="73"/>
      <c r="AI57" s="74"/>
      <c r="AJ57" s="18">
        <f t="shared" si="5"/>
        <v>1</v>
      </c>
    </row>
    <row r="58" spans="1:36" x14ac:dyDescent="0.25">
      <c r="A58" s="81" t="s">
        <v>7</v>
      </c>
      <c r="B58" s="50">
        <v>18</v>
      </c>
      <c r="C58" s="51" t="s">
        <v>8</v>
      </c>
      <c r="D58" s="52">
        <v>20.3</v>
      </c>
      <c r="E58" s="50">
        <v>1.71</v>
      </c>
      <c r="F58" s="50">
        <v>2</v>
      </c>
      <c r="G58" s="50">
        <v>15</v>
      </c>
      <c r="H58" s="52"/>
      <c r="I58" s="50"/>
      <c r="J58" s="50"/>
      <c r="K58" s="51">
        <v>1</v>
      </c>
      <c r="L58" s="18">
        <f t="shared" si="3"/>
        <v>1</v>
      </c>
      <c r="M58" s="72" t="s">
        <v>9</v>
      </c>
      <c r="N58" s="50">
        <v>18</v>
      </c>
      <c r="O58" s="74" t="s">
        <v>8</v>
      </c>
      <c r="P58" s="75">
        <v>17.899999999999999</v>
      </c>
      <c r="Q58" s="73">
        <v>1.23</v>
      </c>
      <c r="R58" s="73">
        <v>15</v>
      </c>
      <c r="S58" s="73">
        <v>3</v>
      </c>
      <c r="T58" s="73"/>
      <c r="U58" s="73"/>
      <c r="V58" s="73"/>
      <c r="W58" s="74"/>
      <c r="X58" s="18">
        <f t="shared" si="4"/>
        <v>0</v>
      </c>
      <c r="Y58" s="81" t="s">
        <v>10</v>
      </c>
      <c r="Z58" s="73">
        <v>18</v>
      </c>
      <c r="AA58" s="74" t="s">
        <v>8</v>
      </c>
      <c r="AB58" s="75">
        <v>18.5</v>
      </c>
      <c r="AC58" s="73">
        <v>1.78</v>
      </c>
      <c r="AD58" s="73">
        <v>18</v>
      </c>
      <c r="AE58" s="73">
        <v>0</v>
      </c>
      <c r="AF58" s="73"/>
      <c r="AG58" s="73"/>
      <c r="AH58" s="73"/>
      <c r="AI58" s="74"/>
      <c r="AJ58" s="18">
        <f t="shared" si="5"/>
        <v>0</v>
      </c>
    </row>
    <row r="59" spans="1:36" x14ac:dyDescent="0.25">
      <c r="A59" s="81" t="s">
        <v>7</v>
      </c>
      <c r="B59" s="50">
        <v>18</v>
      </c>
      <c r="C59" s="51" t="s">
        <v>11</v>
      </c>
      <c r="D59" s="52">
        <v>18</v>
      </c>
      <c r="E59" s="50">
        <v>1.3</v>
      </c>
      <c r="F59" s="50">
        <v>7</v>
      </c>
      <c r="G59" s="50">
        <v>11</v>
      </c>
      <c r="H59" s="50"/>
      <c r="I59" s="50"/>
      <c r="J59" s="50"/>
      <c r="K59" s="51"/>
      <c r="L59" s="18">
        <f t="shared" si="3"/>
        <v>0</v>
      </c>
      <c r="M59" s="72" t="s">
        <v>9</v>
      </c>
      <c r="N59" s="50">
        <v>18</v>
      </c>
      <c r="O59" s="74" t="s">
        <v>11</v>
      </c>
      <c r="P59" s="75">
        <v>20.3</v>
      </c>
      <c r="Q59" s="73">
        <v>1.79</v>
      </c>
      <c r="R59" s="73">
        <v>13</v>
      </c>
      <c r="S59" s="73">
        <v>5</v>
      </c>
      <c r="T59" s="73"/>
      <c r="U59" s="73"/>
      <c r="V59" s="73"/>
      <c r="W59" s="74"/>
      <c r="X59" s="18">
        <f t="shared" si="4"/>
        <v>0</v>
      </c>
      <c r="Y59" s="81" t="s">
        <v>10</v>
      </c>
      <c r="Z59" s="73">
        <v>18</v>
      </c>
      <c r="AA59" s="74" t="s">
        <v>11</v>
      </c>
      <c r="AB59" s="75">
        <v>20.100000000000001</v>
      </c>
      <c r="AC59" s="73">
        <v>2.2999999999999998</v>
      </c>
      <c r="AD59" s="73">
        <v>17</v>
      </c>
      <c r="AE59" s="73">
        <v>0</v>
      </c>
      <c r="AF59" s="73"/>
      <c r="AG59" s="73"/>
      <c r="AH59" s="73"/>
      <c r="AI59" s="74">
        <v>1</v>
      </c>
      <c r="AJ59" s="18">
        <f t="shared" si="5"/>
        <v>1</v>
      </c>
    </row>
    <row r="60" spans="1:36" x14ac:dyDescent="0.25">
      <c r="A60" s="81" t="s">
        <v>7</v>
      </c>
      <c r="B60" s="50">
        <v>18</v>
      </c>
      <c r="C60" s="51" t="s">
        <v>12</v>
      </c>
      <c r="D60" s="52">
        <v>17.3</v>
      </c>
      <c r="E60" s="50">
        <v>1.29</v>
      </c>
      <c r="F60" s="50">
        <v>10</v>
      </c>
      <c r="G60" s="50">
        <v>8</v>
      </c>
      <c r="H60" s="50"/>
      <c r="I60" s="50"/>
      <c r="J60" s="50"/>
      <c r="K60" s="51"/>
      <c r="L60" s="18">
        <f t="shared" si="3"/>
        <v>0</v>
      </c>
      <c r="M60" s="72" t="s">
        <v>9</v>
      </c>
      <c r="N60" s="50">
        <v>18</v>
      </c>
      <c r="O60" s="74" t="s">
        <v>12</v>
      </c>
      <c r="P60" s="75">
        <v>19.899999999999999</v>
      </c>
      <c r="Q60" s="73">
        <v>1.82</v>
      </c>
      <c r="R60" s="73">
        <v>15</v>
      </c>
      <c r="S60" s="73">
        <v>2</v>
      </c>
      <c r="T60" s="73"/>
      <c r="U60" s="73"/>
      <c r="V60" s="73"/>
      <c r="W60" s="74"/>
      <c r="X60" s="18">
        <f t="shared" si="4"/>
        <v>0</v>
      </c>
      <c r="Y60" s="81" t="s">
        <v>10</v>
      </c>
      <c r="Z60" s="73">
        <v>18</v>
      </c>
      <c r="AA60" s="74" t="s">
        <v>12</v>
      </c>
      <c r="AB60" s="75">
        <v>18.399999999999999</v>
      </c>
      <c r="AC60" s="73">
        <v>1.72</v>
      </c>
      <c r="AD60" s="73">
        <v>17</v>
      </c>
      <c r="AE60" s="73">
        <v>1</v>
      </c>
      <c r="AF60" s="73"/>
      <c r="AG60" s="73"/>
      <c r="AH60" s="73"/>
      <c r="AI60" s="74"/>
      <c r="AJ60" s="18">
        <f t="shared" si="5"/>
        <v>0</v>
      </c>
    </row>
    <row r="61" spans="1:36" ht="15.75" thickBot="1" x14ac:dyDescent="0.3">
      <c r="A61" s="85" t="s">
        <v>7</v>
      </c>
      <c r="B61" s="61">
        <v>18</v>
      </c>
      <c r="C61" s="62" t="s">
        <v>13</v>
      </c>
      <c r="D61" s="63">
        <v>16.8</v>
      </c>
      <c r="E61" s="61">
        <v>1.07</v>
      </c>
      <c r="F61" s="61">
        <v>7</v>
      </c>
      <c r="G61" s="61">
        <v>11</v>
      </c>
      <c r="H61" s="61"/>
      <c r="I61" s="61"/>
      <c r="J61" s="61"/>
      <c r="K61" s="62"/>
      <c r="L61" s="18">
        <f t="shared" si="3"/>
        <v>0</v>
      </c>
      <c r="M61" s="86" t="s">
        <v>9</v>
      </c>
      <c r="N61" s="54">
        <v>18</v>
      </c>
      <c r="O61" s="87" t="s">
        <v>13</v>
      </c>
      <c r="P61" s="88">
        <v>18.600000000000001</v>
      </c>
      <c r="Q61" s="89">
        <v>1.59</v>
      </c>
      <c r="R61" s="89">
        <v>16</v>
      </c>
      <c r="S61" s="89">
        <v>2</v>
      </c>
      <c r="T61" s="89"/>
      <c r="U61" s="89"/>
      <c r="V61" s="89"/>
      <c r="W61" s="87"/>
      <c r="X61" s="18">
        <f t="shared" si="4"/>
        <v>0</v>
      </c>
      <c r="Y61" s="90" t="s">
        <v>10</v>
      </c>
      <c r="Z61" s="89">
        <v>18</v>
      </c>
      <c r="AA61" s="87" t="s">
        <v>13</v>
      </c>
      <c r="AB61" s="88">
        <v>15.9</v>
      </c>
      <c r="AC61" s="89">
        <v>1.39</v>
      </c>
      <c r="AD61" s="89">
        <v>18</v>
      </c>
      <c r="AE61" s="89">
        <v>0</v>
      </c>
      <c r="AF61" s="89"/>
      <c r="AG61" s="89"/>
      <c r="AH61" s="89"/>
      <c r="AI61" s="87"/>
      <c r="AJ61" s="18">
        <f t="shared" si="5"/>
        <v>0</v>
      </c>
    </row>
    <row r="62" spans="1:36" x14ac:dyDescent="0.25">
      <c r="A62" s="19" t="s">
        <v>7</v>
      </c>
      <c r="B62" s="20">
        <v>24</v>
      </c>
      <c r="C62" s="21" t="s">
        <v>8</v>
      </c>
      <c r="D62" s="66">
        <v>17.8</v>
      </c>
      <c r="E62" s="20">
        <v>1.37</v>
      </c>
      <c r="F62" s="20">
        <v>20</v>
      </c>
      <c r="G62" s="20">
        <v>4</v>
      </c>
      <c r="H62" s="20"/>
      <c r="I62" s="20"/>
      <c r="J62" s="20"/>
      <c r="K62" s="21"/>
      <c r="L62" s="18">
        <f t="shared" si="3"/>
        <v>0</v>
      </c>
      <c r="M62" s="19" t="s">
        <v>9</v>
      </c>
      <c r="N62" s="20">
        <v>24</v>
      </c>
      <c r="O62" s="21" t="s">
        <v>8</v>
      </c>
      <c r="P62" s="91">
        <v>20</v>
      </c>
      <c r="Q62" s="92">
        <v>1.64</v>
      </c>
      <c r="R62" s="20">
        <v>17</v>
      </c>
      <c r="S62" s="20">
        <v>8</v>
      </c>
      <c r="T62" s="20"/>
      <c r="U62" s="20"/>
      <c r="V62" s="20"/>
      <c r="W62" s="21"/>
      <c r="X62" s="18">
        <f t="shared" si="4"/>
        <v>0</v>
      </c>
      <c r="Y62" s="19" t="s">
        <v>10</v>
      </c>
      <c r="Z62" s="20">
        <v>24</v>
      </c>
      <c r="AA62" s="21" t="s">
        <v>8</v>
      </c>
      <c r="AB62" s="66">
        <v>16.8</v>
      </c>
      <c r="AC62" s="20">
        <v>1.34</v>
      </c>
      <c r="AD62" s="20">
        <v>22</v>
      </c>
      <c r="AE62" s="20">
        <v>2</v>
      </c>
      <c r="AF62" s="20"/>
      <c r="AG62" s="20"/>
      <c r="AH62" s="20"/>
      <c r="AI62" s="21"/>
      <c r="AJ62" s="18">
        <f t="shared" si="5"/>
        <v>0</v>
      </c>
    </row>
    <row r="63" spans="1:36" x14ac:dyDescent="0.25">
      <c r="A63" s="24" t="s">
        <v>7</v>
      </c>
      <c r="B63" s="25">
        <v>24</v>
      </c>
      <c r="C63" s="26" t="s">
        <v>11</v>
      </c>
      <c r="D63" s="27">
        <v>18.2</v>
      </c>
      <c r="E63" s="25">
        <v>1.28</v>
      </c>
      <c r="F63" s="25">
        <v>16</v>
      </c>
      <c r="G63" s="25">
        <v>8</v>
      </c>
      <c r="H63" s="25"/>
      <c r="I63" s="25"/>
      <c r="J63" s="25"/>
      <c r="K63" s="26"/>
      <c r="L63" s="18">
        <f t="shared" si="3"/>
        <v>0</v>
      </c>
      <c r="M63" s="14" t="s">
        <v>9</v>
      </c>
      <c r="N63" s="25">
        <v>24</v>
      </c>
      <c r="O63" s="26" t="s">
        <v>11</v>
      </c>
      <c r="P63" s="27">
        <v>17</v>
      </c>
      <c r="Q63" s="25">
        <v>1.05</v>
      </c>
      <c r="R63" s="25">
        <v>22</v>
      </c>
      <c r="S63" s="25">
        <v>2</v>
      </c>
      <c r="T63" s="25"/>
      <c r="U63" s="25"/>
      <c r="V63" s="25"/>
      <c r="W63" s="26"/>
      <c r="X63" s="18">
        <f t="shared" si="4"/>
        <v>0</v>
      </c>
      <c r="Y63" s="24" t="s">
        <v>10</v>
      </c>
      <c r="Z63" s="25">
        <v>24</v>
      </c>
      <c r="AA63" s="26" t="s">
        <v>11</v>
      </c>
      <c r="AB63" s="28">
        <v>17.5</v>
      </c>
      <c r="AC63" s="29">
        <v>1.4</v>
      </c>
      <c r="AD63" s="25">
        <v>21</v>
      </c>
      <c r="AE63" s="25">
        <v>2</v>
      </c>
      <c r="AF63" s="25"/>
      <c r="AG63" s="25"/>
      <c r="AH63" s="25">
        <v>1</v>
      </c>
      <c r="AI63" s="26"/>
      <c r="AJ63" s="18">
        <f t="shared" si="5"/>
        <v>1</v>
      </c>
    </row>
    <row r="64" spans="1:36" x14ac:dyDescent="0.25">
      <c r="A64" s="24" t="s">
        <v>7</v>
      </c>
      <c r="B64" s="25">
        <v>24</v>
      </c>
      <c r="C64" s="26" t="s">
        <v>12</v>
      </c>
      <c r="D64" s="27">
        <v>16.5</v>
      </c>
      <c r="E64" s="25">
        <v>1.02</v>
      </c>
      <c r="F64" s="25">
        <v>18</v>
      </c>
      <c r="G64" s="25">
        <v>6</v>
      </c>
      <c r="H64" s="25"/>
      <c r="I64" s="25"/>
      <c r="J64" s="25"/>
      <c r="K64" s="26"/>
      <c r="L64" s="18">
        <f t="shared" si="3"/>
        <v>0</v>
      </c>
      <c r="M64" s="14" t="s">
        <v>9</v>
      </c>
      <c r="N64" s="25">
        <v>24</v>
      </c>
      <c r="O64" s="26" t="s">
        <v>12</v>
      </c>
      <c r="P64" s="27">
        <v>20.7</v>
      </c>
      <c r="Q64" s="25">
        <v>1.92</v>
      </c>
      <c r="R64" s="25">
        <v>16</v>
      </c>
      <c r="S64" s="25">
        <v>4</v>
      </c>
      <c r="T64" s="25">
        <v>1</v>
      </c>
      <c r="U64" s="25">
        <v>2</v>
      </c>
      <c r="V64" s="25">
        <v>1</v>
      </c>
      <c r="W64" s="26"/>
      <c r="X64" s="18">
        <f t="shared" si="4"/>
        <v>4</v>
      </c>
      <c r="Y64" s="24" t="s">
        <v>10</v>
      </c>
      <c r="Z64" s="25">
        <v>24</v>
      </c>
      <c r="AA64" s="26" t="s">
        <v>12</v>
      </c>
      <c r="AB64" s="27">
        <v>16.5</v>
      </c>
      <c r="AC64" s="25">
        <v>1.07</v>
      </c>
      <c r="AD64" s="25">
        <v>22</v>
      </c>
      <c r="AE64" s="25">
        <v>1</v>
      </c>
      <c r="AF64" s="25"/>
      <c r="AG64" s="25"/>
      <c r="AH64" s="25"/>
      <c r="AI64" s="26">
        <v>1</v>
      </c>
      <c r="AJ64" s="18">
        <f t="shared" si="5"/>
        <v>1</v>
      </c>
    </row>
    <row r="65" spans="1:36" x14ac:dyDescent="0.25">
      <c r="A65" s="24" t="s">
        <v>7</v>
      </c>
      <c r="B65" s="25">
        <v>24</v>
      </c>
      <c r="C65" s="26" t="s">
        <v>13</v>
      </c>
      <c r="D65" s="27">
        <v>16.8</v>
      </c>
      <c r="E65" s="25">
        <v>1.1000000000000001</v>
      </c>
      <c r="F65" s="25">
        <v>17</v>
      </c>
      <c r="G65" s="25">
        <v>7</v>
      </c>
      <c r="H65" s="25"/>
      <c r="I65" s="25"/>
      <c r="J65" s="25"/>
      <c r="K65" s="26"/>
      <c r="L65" s="18">
        <f t="shared" si="3"/>
        <v>0</v>
      </c>
      <c r="M65" s="14" t="s">
        <v>9</v>
      </c>
      <c r="N65" s="25">
        <v>24</v>
      </c>
      <c r="O65" s="26" t="s">
        <v>13</v>
      </c>
      <c r="P65" s="27">
        <v>18.5</v>
      </c>
      <c r="Q65" s="25">
        <v>1.56</v>
      </c>
      <c r="R65" s="25">
        <v>17</v>
      </c>
      <c r="S65" s="25">
        <v>4</v>
      </c>
      <c r="T65" s="25"/>
      <c r="U65" s="25"/>
      <c r="V65" s="25"/>
      <c r="W65" s="26">
        <v>3</v>
      </c>
      <c r="X65" s="18">
        <f t="shared" si="4"/>
        <v>3</v>
      </c>
      <c r="Y65" s="24" t="s">
        <v>10</v>
      </c>
      <c r="Z65" s="25">
        <v>24</v>
      </c>
      <c r="AA65" s="26" t="s">
        <v>13</v>
      </c>
      <c r="AB65" s="27">
        <v>17.5</v>
      </c>
      <c r="AC65" s="25">
        <v>1.27</v>
      </c>
      <c r="AD65" s="25">
        <v>22</v>
      </c>
      <c r="AE65" s="25">
        <v>2</v>
      </c>
      <c r="AF65" s="25"/>
      <c r="AG65" s="25"/>
      <c r="AH65" s="25"/>
      <c r="AI65" s="26"/>
      <c r="AJ65" s="18">
        <f t="shared" si="5"/>
        <v>0</v>
      </c>
    </row>
    <row r="66" spans="1:36" x14ac:dyDescent="0.25">
      <c r="A66" s="24" t="s">
        <v>7</v>
      </c>
      <c r="B66" s="25">
        <v>24</v>
      </c>
      <c r="C66" s="26" t="s">
        <v>8</v>
      </c>
      <c r="D66" s="27">
        <v>19.8</v>
      </c>
      <c r="E66" s="25">
        <v>1.49</v>
      </c>
      <c r="F66" s="25">
        <v>17</v>
      </c>
      <c r="G66" s="25">
        <v>7</v>
      </c>
      <c r="H66" s="25"/>
      <c r="I66" s="25"/>
      <c r="J66" s="25"/>
      <c r="K66" s="26"/>
      <c r="L66" s="18">
        <f t="shared" ref="L66:L73" si="6">SUM(H66:K66)</f>
        <v>0</v>
      </c>
      <c r="M66" s="14" t="s">
        <v>9</v>
      </c>
      <c r="N66" s="25">
        <v>24</v>
      </c>
      <c r="O66" s="26" t="s">
        <v>8</v>
      </c>
      <c r="P66" s="27">
        <v>19.2</v>
      </c>
      <c r="Q66" s="25">
        <v>1.73</v>
      </c>
      <c r="R66" s="25">
        <v>18</v>
      </c>
      <c r="S66" s="25">
        <v>4</v>
      </c>
      <c r="T66" s="25"/>
      <c r="U66" s="25">
        <v>1</v>
      </c>
      <c r="V66" s="25"/>
      <c r="W66" s="26">
        <v>1</v>
      </c>
      <c r="X66" s="18">
        <f t="shared" ref="X66:X73" si="7">SUM(T66:W66)</f>
        <v>2</v>
      </c>
      <c r="Y66" s="24" t="s">
        <v>10</v>
      </c>
      <c r="Z66" s="25">
        <v>24</v>
      </c>
      <c r="AA66" s="26" t="s">
        <v>8</v>
      </c>
      <c r="AB66" s="27">
        <v>17.399999999999999</v>
      </c>
      <c r="AC66" s="25">
        <v>1.46</v>
      </c>
      <c r="AD66" s="25">
        <v>22</v>
      </c>
      <c r="AE66" s="25">
        <v>1</v>
      </c>
      <c r="AF66" s="25"/>
      <c r="AG66" s="25"/>
      <c r="AH66" s="25"/>
      <c r="AI66" s="26">
        <v>1</v>
      </c>
      <c r="AJ66" s="18">
        <f t="shared" ref="AJ66:AJ97" si="8">SUM(AF66:AI66)</f>
        <v>1</v>
      </c>
    </row>
    <row r="67" spans="1:36" x14ac:dyDescent="0.25">
      <c r="A67" s="24" t="s">
        <v>7</v>
      </c>
      <c r="B67" s="25">
        <v>24</v>
      </c>
      <c r="C67" s="26" t="s">
        <v>11</v>
      </c>
      <c r="D67" s="27">
        <v>16.5</v>
      </c>
      <c r="E67" s="25">
        <v>1.08</v>
      </c>
      <c r="F67" s="25">
        <v>19</v>
      </c>
      <c r="G67" s="25">
        <v>5</v>
      </c>
      <c r="H67" s="25"/>
      <c r="I67" s="25"/>
      <c r="J67" s="25"/>
      <c r="K67" s="26"/>
      <c r="L67" s="18">
        <f t="shared" si="6"/>
        <v>0</v>
      </c>
      <c r="M67" s="14" t="s">
        <v>9</v>
      </c>
      <c r="N67" s="25">
        <v>24</v>
      </c>
      <c r="O67" s="26" t="s">
        <v>11</v>
      </c>
      <c r="P67" s="27">
        <v>17.600000000000001</v>
      </c>
      <c r="Q67" s="25">
        <v>1.22</v>
      </c>
      <c r="R67" s="25">
        <v>23</v>
      </c>
      <c r="S67" s="25">
        <v>0</v>
      </c>
      <c r="T67" s="25"/>
      <c r="U67" s="25"/>
      <c r="V67" s="25"/>
      <c r="W67" s="26">
        <v>1</v>
      </c>
      <c r="X67" s="18">
        <f t="shared" si="7"/>
        <v>1</v>
      </c>
      <c r="Y67" s="24" t="s">
        <v>10</v>
      </c>
      <c r="Z67" s="25">
        <v>24</v>
      </c>
      <c r="AA67" s="26" t="s">
        <v>11</v>
      </c>
      <c r="AB67" s="27">
        <v>15.7</v>
      </c>
      <c r="AC67" s="25">
        <v>1.04</v>
      </c>
      <c r="AD67" s="25">
        <v>23</v>
      </c>
      <c r="AE67" s="25">
        <v>0</v>
      </c>
      <c r="AF67" s="25"/>
      <c r="AG67" s="25"/>
      <c r="AH67" s="25"/>
      <c r="AI67" s="26">
        <v>1</v>
      </c>
      <c r="AJ67" s="18">
        <f t="shared" si="8"/>
        <v>1</v>
      </c>
    </row>
    <row r="68" spans="1:36" x14ac:dyDescent="0.25">
      <c r="A68" s="24" t="s">
        <v>7</v>
      </c>
      <c r="B68" s="25">
        <v>24</v>
      </c>
      <c r="C68" s="26" t="s">
        <v>12</v>
      </c>
      <c r="D68" s="27">
        <v>17</v>
      </c>
      <c r="E68" s="25">
        <v>1.08</v>
      </c>
      <c r="F68" s="25">
        <v>18</v>
      </c>
      <c r="G68" s="25">
        <v>6</v>
      </c>
      <c r="H68" s="25"/>
      <c r="I68" s="25"/>
      <c r="J68" s="25"/>
      <c r="K68" s="26"/>
      <c r="L68" s="18">
        <f t="shared" si="6"/>
        <v>0</v>
      </c>
      <c r="M68" s="14" t="s">
        <v>9</v>
      </c>
      <c r="N68" s="25">
        <v>24</v>
      </c>
      <c r="O68" s="26" t="s">
        <v>12</v>
      </c>
      <c r="P68" s="27">
        <v>20.6</v>
      </c>
      <c r="Q68" s="25">
        <v>1.83</v>
      </c>
      <c r="R68" s="25">
        <v>18</v>
      </c>
      <c r="S68" s="25">
        <v>6</v>
      </c>
      <c r="T68" s="25"/>
      <c r="U68" s="25"/>
      <c r="V68" s="25"/>
      <c r="W68" s="26"/>
      <c r="X68" s="18">
        <f t="shared" si="7"/>
        <v>0</v>
      </c>
      <c r="Y68" s="24" t="s">
        <v>10</v>
      </c>
      <c r="Z68" s="25">
        <v>24</v>
      </c>
      <c r="AA68" s="26" t="s">
        <v>12</v>
      </c>
      <c r="AB68" s="27">
        <v>16.100000000000001</v>
      </c>
      <c r="AC68" s="25">
        <v>1.0900000000000001</v>
      </c>
      <c r="AD68" s="25">
        <v>24</v>
      </c>
      <c r="AE68" s="25">
        <v>0</v>
      </c>
      <c r="AF68" s="25"/>
      <c r="AG68" s="25"/>
      <c r="AH68" s="25"/>
      <c r="AI68" s="26"/>
      <c r="AJ68" s="18">
        <f t="shared" si="8"/>
        <v>0</v>
      </c>
    </row>
    <row r="69" spans="1:36" x14ac:dyDescent="0.25">
      <c r="A69" s="24" t="s">
        <v>7</v>
      </c>
      <c r="B69" s="25">
        <v>24</v>
      </c>
      <c r="C69" s="26" t="s">
        <v>13</v>
      </c>
      <c r="D69" s="27">
        <v>20</v>
      </c>
      <c r="E69" s="25">
        <v>1.49</v>
      </c>
      <c r="F69" s="25">
        <v>18</v>
      </c>
      <c r="G69" s="25">
        <v>6</v>
      </c>
      <c r="H69" s="25"/>
      <c r="I69" s="25"/>
      <c r="J69" s="25"/>
      <c r="K69" s="26"/>
      <c r="L69" s="18">
        <f t="shared" si="6"/>
        <v>0</v>
      </c>
      <c r="M69" s="14" t="s">
        <v>9</v>
      </c>
      <c r="N69" s="25">
        <v>24</v>
      </c>
      <c r="O69" s="26" t="s">
        <v>13</v>
      </c>
      <c r="P69" s="27">
        <v>16.7</v>
      </c>
      <c r="Q69" s="25">
        <v>1.5</v>
      </c>
      <c r="R69" s="25">
        <v>21</v>
      </c>
      <c r="S69" s="25">
        <v>3</v>
      </c>
      <c r="T69" s="25"/>
      <c r="U69" s="25"/>
      <c r="V69" s="25"/>
      <c r="W69" s="26"/>
      <c r="X69" s="18">
        <f t="shared" si="7"/>
        <v>0</v>
      </c>
      <c r="Y69" s="24" t="s">
        <v>10</v>
      </c>
      <c r="Z69" s="25">
        <v>24</v>
      </c>
      <c r="AA69" s="26" t="s">
        <v>13</v>
      </c>
      <c r="AB69" s="27">
        <v>18.3</v>
      </c>
      <c r="AC69" s="25">
        <v>1.58</v>
      </c>
      <c r="AD69" s="25">
        <v>21</v>
      </c>
      <c r="AE69" s="25">
        <v>2</v>
      </c>
      <c r="AF69" s="25"/>
      <c r="AG69" s="25"/>
      <c r="AH69" s="25">
        <v>1</v>
      </c>
      <c r="AI69" s="26"/>
      <c r="AJ69" s="18">
        <f t="shared" si="8"/>
        <v>1</v>
      </c>
    </row>
    <row r="70" spans="1:36" x14ac:dyDescent="0.25">
      <c r="A70" s="24" t="s">
        <v>7</v>
      </c>
      <c r="B70" s="25">
        <v>24</v>
      </c>
      <c r="C70" s="26" t="s">
        <v>8</v>
      </c>
      <c r="D70" s="27">
        <v>18.100000000000001</v>
      </c>
      <c r="E70" s="25">
        <v>1.33</v>
      </c>
      <c r="F70" s="25">
        <v>13</v>
      </c>
      <c r="G70" s="25">
        <v>11</v>
      </c>
      <c r="H70" s="25"/>
      <c r="I70" s="25"/>
      <c r="J70" s="25"/>
      <c r="K70" s="26"/>
      <c r="L70" s="18">
        <f t="shared" si="6"/>
        <v>0</v>
      </c>
      <c r="M70" s="14" t="s">
        <v>9</v>
      </c>
      <c r="N70" s="25">
        <v>24</v>
      </c>
      <c r="O70" s="26" t="s">
        <v>8</v>
      </c>
      <c r="P70" s="27">
        <v>17.5</v>
      </c>
      <c r="Q70" s="25">
        <v>1.33</v>
      </c>
      <c r="R70" s="25">
        <v>20</v>
      </c>
      <c r="S70" s="25">
        <v>2</v>
      </c>
      <c r="T70" s="25"/>
      <c r="U70" s="25">
        <v>1</v>
      </c>
      <c r="V70" s="25"/>
      <c r="W70" s="26">
        <v>1</v>
      </c>
      <c r="X70" s="18">
        <f t="shared" si="7"/>
        <v>2</v>
      </c>
      <c r="Y70" s="24" t="s">
        <v>10</v>
      </c>
      <c r="Z70" s="25">
        <v>24</v>
      </c>
      <c r="AA70" s="26" t="s">
        <v>8</v>
      </c>
      <c r="AB70" s="27">
        <v>16.100000000000001</v>
      </c>
      <c r="AC70" s="25">
        <v>1.2</v>
      </c>
      <c r="AD70" s="25">
        <v>21</v>
      </c>
      <c r="AE70" s="25">
        <v>3</v>
      </c>
      <c r="AF70" s="25"/>
      <c r="AG70" s="25"/>
      <c r="AH70" s="25"/>
      <c r="AI70" s="26"/>
      <c r="AJ70" s="18">
        <f t="shared" si="8"/>
        <v>0</v>
      </c>
    </row>
    <row r="71" spans="1:36" x14ac:dyDescent="0.25">
      <c r="A71" s="24" t="s">
        <v>7</v>
      </c>
      <c r="B71" s="25">
        <v>24</v>
      </c>
      <c r="C71" s="26" t="s">
        <v>11</v>
      </c>
      <c r="D71" s="27">
        <v>18.100000000000001</v>
      </c>
      <c r="E71" s="25">
        <v>1.39</v>
      </c>
      <c r="F71" s="25">
        <v>18</v>
      </c>
      <c r="G71" s="25">
        <v>5</v>
      </c>
      <c r="H71" s="25"/>
      <c r="I71" s="25"/>
      <c r="J71" s="25"/>
      <c r="K71" s="26"/>
      <c r="L71" s="18">
        <f t="shared" si="6"/>
        <v>0</v>
      </c>
      <c r="M71" s="14" t="s">
        <v>9</v>
      </c>
      <c r="N71" s="25">
        <v>24</v>
      </c>
      <c r="O71" s="26" t="s">
        <v>11</v>
      </c>
      <c r="P71" s="27">
        <v>17.7</v>
      </c>
      <c r="Q71" s="25">
        <v>1.38</v>
      </c>
      <c r="R71" s="25">
        <v>12</v>
      </c>
      <c r="S71" s="25">
        <v>8</v>
      </c>
      <c r="T71" s="25">
        <v>2</v>
      </c>
      <c r="U71" s="25"/>
      <c r="V71" s="25">
        <v>1</v>
      </c>
      <c r="W71" s="26">
        <v>1</v>
      </c>
      <c r="X71" s="18">
        <f t="shared" si="7"/>
        <v>4</v>
      </c>
      <c r="Y71" s="24" t="s">
        <v>10</v>
      </c>
      <c r="Z71" s="25">
        <v>24</v>
      </c>
      <c r="AA71" s="26" t="s">
        <v>11</v>
      </c>
      <c r="AB71" s="27">
        <v>17.899999999999999</v>
      </c>
      <c r="AC71" s="25">
        <v>1.6</v>
      </c>
      <c r="AD71" s="25">
        <v>23</v>
      </c>
      <c r="AE71" s="25">
        <v>1</v>
      </c>
      <c r="AF71" s="25"/>
      <c r="AG71" s="25"/>
      <c r="AH71" s="25"/>
      <c r="AI71" s="26">
        <v>1</v>
      </c>
      <c r="AJ71" s="18">
        <f t="shared" si="8"/>
        <v>1</v>
      </c>
    </row>
    <row r="72" spans="1:36" x14ac:dyDescent="0.25">
      <c r="A72" s="24" t="s">
        <v>7</v>
      </c>
      <c r="B72" s="25">
        <v>24</v>
      </c>
      <c r="C72" s="26" t="s">
        <v>12</v>
      </c>
      <c r="D72" s="27">
        <v>18.2</v>
      </c>
      <c r="E72" s="25">
        <v>1.44</v>
      </c>
      <c r="F72" s="25">
        <v>22</v>
      </c>
      <c r="G72" s="25">
        <v>2</v>
      </c>
      <c r="H72" s="25"/>
      <c r="I72" s="25"/>
      <c r="J72" s="25"/>
      <c r="K72" s="26"/>
      <c r="L72" s="18">
        <f t="shared" si="6"/>
        <v>0</v>
      </c>
      <c r="M72" s="14" t="s">
        <v>9</v>
      </c>
      <c r="N72" s="25">
        <v>24</v>
      </c>
      <c r="O72" s="26" t="s">
        <v>12</v>
      </c>
      <c r="P72" s="27">
        <v>18.2</v>
      </c>
      <c r="Q72" s="25">
        <v>1.4</v>
      </c>
      <c r="R72" s="25">
        <v>21</v>
      </c>
      <c r="S72" s="25">
        <v>3</v>
      </c>
      <c r="T72" s="25"/>
      <c r="U72" s="25"/>
      <c r="V72" s="25"/>
      <c r="W72" s="26"/>
      <c r="X72" s="18">
        <f t="shared" si="7"/>
        <v>0</v>
      </c>
      <c r="Y72" s="24" t="s">
        <v>10</v>
      </c>
      <c r="Z72" s="25">
        <v>24</v>
      </c>
      <c r="AA72" s="26" t="s">
        <v>12</v>
      </c>
      <c r="AB72" s="27">
        <v>17.600000000000001</v>
      </c>
      <c r="AC72" s="25">
        <v>1.5</v>
      </c>
      <c r="AD72" s="25">
        <v>22</v>
      </c>
      <c r="AE72" s="25">
        <v>2</v>
      </c>
      <c r="AF72" s="25"/>
      <c r="AG72" s="25"/>
      <c r="AH72" s="25"/>
      <c r="AI72" s="26"/>
      <c r="AJ72" s="18">
        <f t="shared" si="8"/>
        <v>0</v>
      </c>
    </row>
    <row r="73" spans="1:36" ht="15.75" thickBot="1" x14ac:dyDescent="0.3">
      <c r="A73" s="31" t="s">
        <v>7</v>
      </c>
      <c r="B73" s="32">
        <v>24</v>
      </c>
      <c r="C73" s="33" t="s">
        <v>13</v>
      </c>
      <c r="D73" s="34">
        <v>16.399999999999999</v>
      </c>
      <c r="E73" s="32">
        <v>1.06</v>
      </c>
      <c r="F73" s="32">
        <v>17</v>
      </c>
      <c r="G73" s="32">
        <v>7</v>
      </c>
      <c r="H73" s="32"/>
      <c r="I73" s="32"/>
      <c r="J73" s="32"/>
      <c r="K73" s="33"/>
      <c r="L73" s="18">
        <f t="shared" si="6"/>
        <v>0</v>
      </c>
      <c r="M73" s="64" t="s">
        <v>9</v>
      </c>
      <c r="N73" s="32">
        <v>24</v>
      </c>
      <c r="O73" s="33" t="s">
        <v>13</v>
      </c>
      <c r="P73" s="34">
        <v>16.399999999999999</v>
      </c>
      <c r="Q73" s="32">
        <v>1.1599999999999999</v>
      </c>
      <c r="R73" s="32">
        <v>18</v>
      </c>
      <c r="S73" s="32">
        <v>3</v>
      </c>
      <c r="T73" s="32"/>
      <c r="U73" s="32"/>
      <c r="V73" s="32"/>
      <c r="W73" s="33"/>
      <c r="X73" s="18">
        <f t="shared" si="7"/>
        <v>0</v>
      </c>
      <c r="Y73" s="31" t="s">
        <v>10</v>
      </c>
      <c r="Z73" s="32">
        <v>24</v>
      </c>
      <c r="AA73" s="33" t="s">
        <v>13</v>
      </c>
      <c r="AB73" s="34">
        <v>16.5</v>
      </c>
      <c r="AC73" s="32">
        <v>1.1299999999999999</v>
      </c>
      <c r="AD73" s="32">
        <v>24</v>
      </c>
      <c r="AE73" s="32">
        <v>0</v>
      </c>
      <c r="AF73" s="32"/>
      <c r="AG73" s="32"/>
      <c r="AH73" s="32"/>
      <c r="AI73" s="33"/>
      <c r="AJ73" s="18">
        <f t="shared" si="8"/>
        <v>0</v>
      </c>
    </row>
    <row r="74" spans="1:36" x14ac:dyDescent="0.25">
      <c r="L74" s="93"/>
      <c r="X74" s="93"/>
    </row>
    <row r="75" spans="1:36" ht="30.75" customHeight="1" x14ac:dyDescent="0.2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9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9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</row>
    <row r="76" spans="1:36" x14ac:dyDescent="0.25">
      <c r="A76" s="5"/>
      <c r="B76" s="5"/>
      <c r="C76" s="5"/>
      <c r="D76" s="5"/>
      <c r="E76" s="5"/>
      <c r="F76" s="5"/>
      <c r="G76" s="5"/>
      <c r="H76" s="5"/>
      <c r="I76" s="5"/>
      <c r="J76" s="5"/>
      <c r="K76" s="5"/>
      <c r="L76" s="93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93"/>
      <c r="Y76" s="5"/>
      <c r="Z76" s="5"/>
      <c r="AA76" s="5"/>
      <c r="AB76" s="5"/>
      <c r="AC76" s="5"/>
      <c r="AD76" s="5"/>
      <c r="AE76" s="5"/>
      <c r="AF76" s="5"/>
      <c r="AG76" s="5"/>
      <c r="AH76" s="5"/>
      <c r="AI76" s="5"/>
    </row>
    <row r="77" spans="1:36" x14ac:dyDescent="0.25">
      <c r="A77" s="5"/>
      <c r="B77" s="5"/>
      <c r="C77" s="5"/>
      <c r="D77" s="5"/>
      <c r="E77" s="5"/>
      <c r="F77" s="5"/>
      <c r="G77" s="5"/>
      <c r="H77" s="5"/>
      <c r="I77" s="5"/>
      <c r="J77" s="5"/>
      <c r="K77" s="5"/>
      <c r="L77" s="93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93"/>
      <c r="Y77" s="5"/>
      <c r="Z77" s="5"/>
      <c r="AA77" s="5"/>
      <c r="AB77" s="5"/>
      <c r="AC77" s="5"/>
      <c r="AD77" s="5"/>
      <c r="AE77" s="5"/>
      <c r="AF77" s="5"/>
      <c r="AG77" s="5"/>
      <c r="AH77" s="5"/>
      <c r="AI77" s="5"/>
    </row>
    <row r="78" spans="1:36" x14ac:dyDescent="0.25">
      <c r="A78" s="5"/>
      <c r="B78" s="5"/>
      <c r="C78" s="5"/>
      <c r="D78" s="5"/>
      <c r="E78" s="5"/>
      <c r="F78" s="5"/>
      <c r="G78" s="5"/>
      <c r="H78" s="5"/>
      <c r="I78" s="5"/>
      <c r="J78" s="5"/>
      <c r="K78" s="5"/>
      <c r="L78" s="93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93"/>
      <c r="Y78" s="5"/>
      <c r="Z78" s="5"/>
      <c r="AA78" s="5"/>
      <c r="AB78" s="5"/>
      <c r="AC78" s="5"/>
      <c r="AD78" s="5"/>
      <c r="AE78" s="5"/>
      <c r="AF78" s="5"/>
      <c r="AG78" s="5"/>
      <c r="AH78" s="5"/>
      <c r="AI78" s="5"/>
    </row>
    <row r="79" spans="1:36" x14ac:dyDescent="0.25">
      <c r="A79" s="5"/>
      <c r="B79" s="5"/>
      <c r="C79" s="5"/>
      <c r="D79" s="5"/>
      <c r="E79" s="5"/>
      <c r="F79" s="5"/>
      <c r="G79" s="5"/>
      <c r="H79" s="5"/>
      <c r="I79" s="5"/>
      <c r="J79" s="5"/>
      <c r="K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Y79" s="5"/>
      <c r="Z79" s="5"/>
      <c r="AA79" s="5"/>
      <c r="AB79" s="5"/>
      <c r="AC79" s="5"/>
      <c r="AD79" s="5"/>
      <c r="AE79" s="5"/>
      <c r="AF79" s="5"/>
      <c r="AG79" s="5"/>
      <c r="AH79" s="5"/>
      <c r="AI79" s="5"/>
    </row>
    <row r="80" spans="1:36" x14ac:dyDescent="0.25">
      <c r="A80" s="5"/>
      <c r="B80" s="5"/>
      <c r="C80" s="5"/>
      <c r="D80" s="5"/>
      <c r="E80" s="5"/>
      <c r="F80" s="5"/>
      <c r="G80" s="5"/>
      <c r="H80" s="5"/>
      <c r="I80" s="5"/>
      <c r="J80" s="5"/>
      <c r="K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Y80" s="5"/>
      <c r="Z80" s="5"/>
      <c r="AA80" s="5"/>
      <c r="AB80" s="5"/>
      <c r="AC80" s="5"/>
      <c r="AD80" s="5"/>
      <c r="AE80" s="5"/>
      <c r="AF80" s="5"/>
      <c r="AG80" s="5"/>
      <c r="AH80" s="5"/>
      <c r="AI80" s="5"/>
    </row>
    <row r="81" spans="1:35" x14ac:dyDescent="0.25">
      <c r="A81" s="4"/>
      <c r="B81" s="4"/>
      <c r="C81" s="4"/>
      <c r="D81" s="4"/>
      <c r="E81" s="4"/>
      <c r="F81" s="4"/>
      <c r="G81" s="4"/>
      <c r="H81" s="4"/>
      <c r="I81" s="4"/>
      <c r="J81" s="4"/>
      <c r="K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Y81" s="4"/>
      <c r="Z81" s="4"/>
      <c r="AA81" s="4"/>
      <c r="AB81" s="4"/>
      <c r="AC81" s="4"/>
      <c r="AD81" s="4"/>
      <c r="AE81" s="4"/>
      <c r="AF81" s="4"/>
      <c r="AG81" s="4"/>
      <c r="AH81" s="4"/>
      <c r="AI81" s="4"/>
    </row>
    <row r="82" spans="1:35" x14ac:dyDescent="0.25">
      <c r="A82" s="50"/>
      <c r="B82" s="50"/>
      <c r="C82" s="50"/>
      <c r="D82" s="50"/>
      <c r="E82" s="50"/>
      <c r="F82" s="50"/>
      <c r="G82" s="50"/>
      <c r="H82" s="50"/>
      <c r="I82" s="50"/>
      <c r="J82" s="50"/>
      <c r="K82" s="50"/>
      <c r="M82" s="73"/>
      <c r="N82" s="73"/>
      <c r="O82" s="73"/>
      <c r="P82" s="73"/>
      <c r="Q82" s="73"/>
      <c r="R82" s="73"/>
      <c r="S82" s="73"/>
      <c r="T82" s="73"/>
      <c r="U82" s="73"/>
      <c r="V82" s="73"/>
      <c r="W82" s="73"/>
      <c r="Y82" s="83"/>
      <c r="Z82" s="83"/>
      <c r="AA82" s="83"/>
      <c r="AB82" s="83"/>
      <c r="AC82" s="83"/>
      <c r="AD82" s="83"/>
      <c r="AE82" s="83"/>
      <c r="AF82" s="83"/>
      <c r="AG82" s="83"/>
      <c r="AH82" s="83"/>
      <c r="AI82" s="83"/>
    </row>
    <row r="83" spans="1:35" x14ac:dyDescent="0.25">
      <c r="A83" s="50"/>
      <c r="B83" s="50"/>
      <c r="C83" s="50"/>
      <c r="D83" s="50"/>
      <c r="E83" s="50"/>
      <c r="F83" s="50"/>
      <c r="G83" s="50"/>
      <c r="H83" s="50"/>
      <c r="I83" s="50"/>
      <c r="J83" s="50"/>
      <c r="K83" s="50"/>
      <c r="M83" s="73"/>
      <c r="N83" s="73"/>
      <c r="O83" s="73"/>
      <c r="P83" s="73"/>
      <c r="Q83" s="73"/>
      <c r="R83" s="73"/>
      <c r="S83" s="73"/>
      <c r="T83" s="73"/>
      <c r="U83" s="73"/>
      <c r="V83" s="73"/>
      <c r="W83" s="73"/>
      <c r="Y83" s="50"/>
      <c r="Z83" s="50"/>
      <c r="AA83" s="50"/>
      <c r="AB83" s="50"/>
      <c r="AC83" s="50"/>
      <c r="AD83" s="50"/>
      <c r="AE83" s="50"/>
      <c r="AF83" s="50"/>
      <c r="AG83" s="50"/>
      <c r="AH83" s="50"/>
      <c r="AI83" s="50"/>
    </row>
    <row r="84" spans="1:35" x14ac:dyDescent="0.25">
      <c r="A84" s="50"/>
      <c r="B84" s="50"/>
      <c r="C84" s="50"/>
      <c r="D84" s="50"/>
      <c r="E84" s="50"/>
      <c r="F84" s="50"/>
      <c r="G84" s="50"/>
      <c r="H84" s="50"/>
      <c r="I84" s="50"/>
      <c r="J84" s="50"/>
      <c r="K84" s="50"/>
      <c r="M84" s="73"/>
      <c r="N84" s="73"/>
      <c r="O84" s="73"/>
      <c r="P84" s="95"/>
      <c r="Q84" s="95"/>
      <c r="R84" s="73"/>
      <c r="S84" s="73"/>
      <c r="T84" s="73"/>
      <c r="U84" s="73"/>
      <c r="V84" s="73"/>
      <c r="W84" s="73"/>
      <c r="Y84" s="73"/>
      <c r="Z84" s="73"/>
      <c r="AA84" s="73"/>
      <c r="AB84" s="52"/>
      <c r="AC84" s="50"/>
      <c r="AD84" s="50"/>
      <c r="AE84" s="50"/>
      <c r="AF84" s="50"/>
      <c r="AG84" s="50"/>
      <c r="AH84" s="50"/>
      <c r="AI84" s="50"/>
    </row>
    <row r="85" spans="1:35" x14ac:dyDescent="0.25">
      <c r="A85" s="50"/>
      <c r="B85" s="50"/>
      <c r="C85" s="50"/>
      <c r="D85" s="50"/>
      <c r="E85" s="50"/>
      <c r="F85" s="50"/>
      <c r="G85" s="50"/>
      <c r="H85" s="50"/>
      <c r="I85" s="50"/>
      <c r="J85" s="50"/>
      <c r="K85" s="50"/>
      <c r="M85" s="73"/>
      <c r="N85" s="73"/>
      <c r="O85" s="73"/>
      <c r="P85" s="73"/>
      <c r="Q85" s="73"/>
      <c r="R85" s="73"/>
      <c r="S85" s="73"/>
      <c r="T85" s="73"/>
      <c r="U85" s="73"/>
      <c r="V85" s="73"/>
      <c r="W85" s="73"/>
      <c r="Y85" s="73"/>
      <c r="Z85" s="73"/>
      <c r="AA85" s="73"/>
      <c r="AB85" s="52"/>
      <c r="AC85" s="50"/>
      <c r="AD85" s="50"/>
      <c r="AE85" s="50"/>
      <c r="AF85" s="50"/>
      <c r="AG85" s="50"/>
      <c r="AH85" s="50"/>
      <c r="AI85" s="50"/>
    </row>
    <row r="86" spans="1:35" x14ac:dyDescent="0.25">
      <c r="M86" s="73"/>
      <c r="N86" s="73"/>
      <c r="O86" s="73"/>
      <c r="P86" s="73"/>
      <c r="Q86" s="73"/>
      <c r="R86" s="73"/>
      <c r="S86" s="73"/>
      <c r="T86" s="73"/>
      <c r="U86" s="73"/>
      <c r="V86" s="73"/>
      <c r="W86" s="73"/>
    </row>
    <row r="87" spans="1:35" x14ac:dyDescent="0.25">
      <c r="B87" s="2"/>
      <c r="C87" s="2"/>
      <c r="D87" s="2"/>
      <c r="H87" s="1"/>
      <c r="I87" s="1"/>
      <c r="M87" s="73"/>
      <c r="N87" s="73"/>
      <c r="O87" s="73"/>
      <c r="P87" s="73"/>
      <c r="Q87" s="73"/>
      <c r="R87" s="73"/>
      <c r="S87" s="73"/>
      <c r="T87" s="73"/>
      <c r="U87" s="73"/>
      <c r="V87" s="73"/>
      <c r="W87" s="73"/>
    </row>
    <row r="88" spans="1:35" x14ac:dyDescent="0.25">
      <c r="H88" s="94"/>
      <c r="M88" s="73"/>
      <c r="N88" s="73"/>
      <c r="O88" s="73"/>
      <c r="P88" s="83"/>
      <c r="Q88" s="83"/>
      <c r="R88" s="73"/>
      <c r="S88" s="73"/>
      <c r="T88" s="73"/>
      <c r="U88" s="73"/>
      <c r="V88" s="73"/>
      <c r="W88" s="73"/>
    </row>
    <row r="89" spans="1:35" x14ac:dyDescent="0.25">
      <c r="M89" s="73"/>
      <c r="N89" s="73"/>
      <c r="O89" s="73"/>
      <c r="P89" s="73"/>
      <c r="Q89" s="73"/>
      <c r="R89" s="73"/>
      <c r="S89" s="73"/>
      <c r="T89" s="73"/>
      <c r="U89" s="73"/>
      <c r="V89" s="73"/>
      <c r="W89" s="73"/>
    </row>
    <row r="90" spans="1:35" x14ac:dyDescent="0.25">
      <c r="M90" s="73"/>
      <c r="N90" s="73"/>
      <c r="O90" s="73"/>
      <c r="P90" s="73"/>
      <c r="Q90" s="73"/>
      <c r="R90" s="73"/>
      <c r="S90" s="73"/>
      <c r="T90" s="73"/>
      <c r="U90" s="73"/>
      <c r="V90" s="73"/>
      <c r="W90" s="73"/>
    </row>
    <row r="91" spans="1:35" x14ac:dyDescent="0.25">
      <c r="M91" s="73"/>
      <c r="N91" s="73"/>
      <c r="O91" s="73"/>
      <c r="P91" s="73"/>
      <c r="Q91" s="73"/>
      <c r="R91" s="73"/>
      <c r="S91" s="73"/>
      <c r="T91" s="73"/>
      <c r="U91" s="73"/>
      <c r="V91" s="73"/>
      <c r="W91" s="73"/>
    </row>
    <row r="98" spans="4:5" x14ac:dyDescent="0.25">
      <c r="D98" s="96"/>
      <c r="E98" s="96"/>
    </row>
  </sheetData>
  <mergeCells count="23">
    <mergeCell ref="A81:K81"/>
    <mergeCell ref="M81:W81"/>
    <mergeCell ref="Y81:AI81"/>
    <mergeCell ref="B87:D87"/>
    <mergeCell ref="H87:I87"/>
    <mergeCell ref="A79:K79"/>
    <mergeCell ref="M79:W79"/>
    <mergeCell ref="Y79:AI79"/>
    <mergeCell ref="A80:K80"/>
    <mergeCell ref="M80:W80"/>
    <mergeCell ref="Y80:AI80"/>
    <mergeCell ref="A77:K77"/>
    <mergeCell ref="M77:W77"/>
    <mergeCell ref="Y77:AI77"/>
    <mergeCell ref="A78:K78"/>
    <mergeCell ref="M78:W78"/>
    <mergeCell ref="Y78:AI78"/>
    <mergeCell ref="A75:K75"/>
    <mergeCell ref="M75:W75"/>
    <mergeCell ref="Y75:AI75"/>
    <mergeCell ref="A76:K76"/>
    <mergeCell ref="M76:W76"/>
    <mergeCell ref="Y76:AI76"/>
  </mergeCells>
  <pageMargins left="0.7" right="0.7" top="0.75" bottom="0.75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J56"/>
  <sheetViews>
    <sheetView tabSelected="1" zoomScale="60" zoomScaleNormal="60" workbookViewId="0">
      <selection activeCell="AD1" sqref="AD1:AD1048576"/>
    </sheetView>
  </sheetViews>
  <sheetFormatPr defaultColWidth="8.85546875" defaultRowHeight="15" x14ac:dyDescent="0.25"/>
  <cols>
    <col min="11" max="11" width="14.7109375" customWidth="1"/>
    <col min="12" max="12" width="8.85546875" style="97"/>
    <col min="23" max="23" width="14.7109375" customWidth="1"/>
    <col min="24" max="24" width="8.85546875" style="97"/>
    <col min="35" max="35" width="14.7109375" customWidth="1"/>
    <col min="36" max="36" width="8.85546875" style="98"/>
  </cols>
  <sheetData>
    <row r="1" spans="1:36" x14ac:dyDescent="0.25">
      <c r="A1" s="8" t="s">
        <v>0</v>
      </c>
      <c r="B1" s="8" t="s">
        <v>1</v>
      </c>
      <c r="C1" s="8" t="s">
        <v>2</v>
      </c>
      <c r="D1" s="9" t="s">
        <v>3</v>
      </c>
      <c r="E1" s="10" t="s">
        <v>4</v>
      </c>
      <c r="F1" s="10" t="s">
        <v>5</v>
      </c>
      <c r="G1" s="11">
        <v>1</v>
      </c>
      <c r="H1" s="11">
        <v>0.75</v>
      </c>
      <c r="I1" s="11">
        <v>0.5</v>
      </c>
      <c r="J1" s="11">
        <v>0.25</v>
      </c>
      <c r="K1" s="12">
        <v>0</v>
      </c>
      <c r="L1" s="97" t="s">
        <v>6</v>
      </c>
      <c r="M1" s="8" t="s">
        <v>0</v>
      </c>
      <c r="N1" s="8" t="s">
        <v>1</v>
      </c>
      <c r="O1" s="8" t="s">
        <v>2</v>
      </c>
      <c r="P1" s="9" t="s">
        <v>3</v>
      </c>
      <c r="Q1" s="10" t="s">
        <v>4</v>
      </c>
      <c r="R1" s="10" t="s">
        <v>5</v>
      </c>
      <c r="S1" s="11">
        <v>1</v>
      </c>
      <c r="T1" s="11">
        <v>0.75</v>
      </c>
      <c r="U1" s="11">
        <v>0.5</v>
      </c>
      <c r="V1" s="11">
        <v>0.25</v>
      </c>
      <c r="W1" s="12">
        <v>0</v>
      </c>
      <c r="X1" s="97" t="s">
        <v>6</v>
      </c>
      <c r="Y1" s="8" t="s">
        <v>0</v>
      </c>
      <c r="Z1" s="8" t="s">
        <v>1</v>
      </c>
      <c r="AA1" s="8" t="s">
        <v>2</v>
      </c>
      <c r="AB1" s="9" t="s">
        <v>3</v>
      </c>
      <c r="AC1" s="10" t="s">
        <v>4</v>
      </c>
      <c r="AD1" s="10" t="s">
        <v>5</v>
      </c>
      <c r="AE1" s="11">
        <v>1</v>
      </c>
      <c r="AF1" s="11">
        <v>0.75</v>
      </c>
      <c r="AG1" s="11">
        <v>0.5</v>
      </c>
      <c r="AH1" s="11">
        <v>0.25</v>
      </c>
      <c r="AI1" s="12">
        <v>0</v>
      </c>
      <c r="AJ1" s="97" t="s">
        <v>6</v>
      </c>
    </row>
    <row r="2" spans="1:36" x14ac:dyDescent="0.25">
      <c r="A2" t="s">
        <v>14</v>
      </c>
      <c r="D2">
        <v>17.3</v>
      </c>
      <c r="E2">
        <v>1.33</v>
      </c>
      <c r="F2">
        <v>12</v>
      </c>
      <c r="G2">
        <v>0</v>
      </c>
      <c r="L2" s="97">
        <f t="shared" ref="L2:L33" si="0">SUM(H2:K2)</f>
        <v>0</v>
      </c>
      <c r="M2" s="99" t="s">
        <v>15</v>
      </c>
      <c r="P2">
        <v>17.899999999999999</v>
      </c>
      <c r="Q2">
        <v>1.21</v>
      </c>
      <c r="R2">
        <v>10</v>
      </c>
      <c r="S2">
        <v>2</v>
      </c>
      <c r="X2" s="97">
        <f t="shared" ref="X2:X33" si="1">SUM(T2:W2)</f>
        <v>0</v>
      </c>
      <c r="Y2" s="99" t="s">
        <v>16</v>
      </c>
      <c r="AB2">
        <v>17.399999999999999</v>
      </c>
      <c r="AC2">
        <v>1.21</v>
      </c>
      <c r="AD2">
        <v>5</v>
      </c>
      <c r="AE2">
        <v>6</v>
      </c>
      <c r="AF2">
        <v>1</v>
      </c>
      <c r="AJ2" s="97">
        <f t="shared" ref="AJ2:AJ33" si="2">SUM(AF2:AI2)</f>
        <v>1</v>
      </c>
    </row>
    <row r="3" spans="1:36" x14ac:dyDescent="0.25">
      <c r="A3" t="s">
        <v>17</v>
      </c>
      <c r="D3">
        <v>17.600000000000001</v>
      </c>
      <c r="E3">
        <v>1.37</v>
      </c>
      <c r="F3">
        <v>4</v>
      </c>
      <c r="G3" s="100">
        <v>4</v>
      </c>
      <c r="I3">
        <v>1</v>
      </c>
      <c r="J3">
        <v>3</v>
      </c>
      <c r="L3" s="97">
        <f t="shared" si="0"/>
        <v>4</v>
      </c>
      <c r="M3" s="99" t="s">
        <v>18</v>
      </c>
      <c r="P3">
        <v>19.7</v>
      </c>
      <c r="Q3">
        <v>1.73</v>
      </c>
      <c r="R3">
        <v>12</v>
      </c>
      <c r="S3">
        <v>0</v>
      </c>
      <c r="X3" s="97">
        <f t="shared" si="1"/>
        <v>0</v>
      </c>
      <c r="Y3" s="99" t="s">
        <v>19</v>
      </c>
      <c r="AB3">
        <v>19.2</v>
      </c>
      <c r="AC3">
        <v>1.51</v>
      </c>
      <c r="AD3">
        <v>1</v>
      </c>
      <c r="AE3">
        <v>11</v>
      </c>
      <c r="AJ3" s="97">
        <f t="shared" si="2"/>
        <v>0</v>
      </c>
    </row>
    <row r="4" spans="1:36" x14ac:dyDescent="0.25">
      <c r="A4" t="s">
        <v>20</v>
      </c>
      <c r="D4">
        <v>20.8</v>
      </c>
      <c r="E4">
        <v>2.06</v>
      </c>
      <c r="F4">
        <v>8</v>
      </c>
      <c r="G4" s="100">
        <v>4</v>
      </c>
      <c r="L4" s="97">
        <f t="shared" si="0"/>
        <v>0</v>
      </c>
      <c r="M4" s="99" t="s">
        <v>21</v>
      </c>
      <c r="P4">
        <v>17</v>
      </c>
      <c r="Q4">
        <v>1.37</v>
      </c>
      <c r="R4">
        <v>11</v>
      </c>
      <c r="S4">
        <v>1</v>
      </c>
      <c r="X4" s="97">
        <f t="shared" si="1"/>
        <v>0</v>
      </c>
      <c r="Y4" s="99" t="s">
        <v>22</v>
      </c>
      <c r="AB4">
        <v>19.2</v>
      </c>
      <c r="AC4">
        <v>1.82</v>
      </c>
      <c r="AD4">
        <v>0</v>
      </c>
      <c r="AE4">
        <v>12</v>
      </c>
      <c r="AJ4" s="97">
        <f t="shared" si="2"/>
        <v>0</v>
      </c>
    </row>
    <row r="5" spans="1:36" x14ac:dyDescent="0.25">
      <c r="A5" t="s">
        <v>23</v>
      </c>
      <c r="D5">
        <v>18.3</v>
      </c>
      <c r="E5">
        <v>1.59</v>
      </c>
      <c r="F5">
        <v>7</v>
      </c>
      <c r="G5" s="100">
        <v>5</v>
      </c>
      <c r="L5" s="97">
        <f t="shared" si="0"/>
        <v>0</v>
      </c>
      <c r="M5" s="99" t="s">
        <v>24</v>
      </c>
      <c r="P5">
        <v>18.8</v>
      </c>
      <c r="Q5">
        <v>1.48</v>
      </c>
      <c r="R5">
        <v>11</v>
      </c>
      <c r="S5">
        <v>1</v>
      </c>
      <c r="X5" s="97">
        <f t="shared" si="1"/>
        <v>0</v>
      </c>
      <c r="Y5" s="99" t="s">
        <v>25</v>
      </c>
      <c r="AB5">
        <v>18.5</v>
      </c>
      <c r="AC5">
        <v>1.3</v>
      </c>
      <c r="AD5">
        <v>7</v>
      </c>
      <c r="AE5">
        <v>3</v>
      </c>
      <c r="AF5">
        <v>1</v>
      </c>
      <c r="AH5">
        <v>1</v>
      </c>
      <c r="AJ5" s="97">
        <f t="shared" si="2"/>
        <v>2</v>
      </c>
    </row>
    <row r="6" spans="1:36" x14ac:dyDescent="0.25">
      <c r="A6" t="s">
        <v>26</v>
      </c>
      <c r="D6">
        <v>19.899999999999999</v>
      </c>
      <c r="E6">
        <v>1.7</v>
      </c>
      <c r="F6">
        <v>11</v>
      </c>
      <c r="G6" s="100">
        <v>1</v>
      </c>
      <c r="L6" s="97">
        <f t="shared" si="0"/>
        <v>0</v>
      </c>
      <c r="M6" s="99" t="s">
        <v>27</v>
      </c>
      <c r="P6">
        <v>18.100000000000001</v>
      </c>
      <c r="Q6">
        <v>1.45</v>
      </c>
      <c r="R6">
        <v>8</v>
      </c>
      <c r="S6">
        <v>4</v>
      </c>
      <c r="X6" s="97">
        <f t="shared" si="1"/>
        <v>0</v>
      </c>
      <c r="Y6" s="99" t="s">
        <v>28</v>
      </c>
      <c r="AB6">
        <v>20</v>
      </c>
      <c r="AC6">
        <v>1.86</v>
      </c>
      <c r="AD6">
        <v>3</v>
      </c>
      <c r="AE6">
        <v>9</v>
      </c>
      <c r="AJ6" s="97">
        <f t="shared" si="2"/>
        <v>0</v>
      </c>
    </row>
    <row r="7" spans="1:36" x14ac:dyDescent="0.25">
      <c r="A7" t="s">
        <v>29</v>
      </c>
      <c r="D7">
        <v>19.600000000000001</v>
      </c>
      <c r="E7">
        <v>1.83</v>
      </c>
      <c r="F7">
        <v>9</v>
      </c>
      <c r="G7" s="100">
        <v>3</v>
      </c>
      <c r="L7" s="97">
        <f t="shared" si="0"/>
        <v>0</v>
      </c>
      <c r="M7" s="99" t="s">
        <v>30</v>
      </c>
      <c r="P7">
        <v>17.3</v>
      </c>
      <c r="Q7">
        <v>1.29</v>
      </c>
      <c r="R7">
        <v>9</v>
      </c>
      <c r="S7">
        <v>3</v>
      </c>
      <c r="X7" s="97">
        <f t="shared" si="1"/>
        <v>0</v>
      </c>
      <c r="Y7" s="99" t="s">
        <v>31</v>
      </c>
      <c r="AB7">
        <v>16.7</v>
      </c>
      <c r="AC7">
        <v>1.08</v>
      </c>
      <c r="AD7">
        <v>12</v>
      </c>
      <c r="AE7">
        <v>0</v>
      </c>
      <c r="AJ7" s="97">
        <f t="shared" si="2"/>
        <v>0</v>
      </c>
    </row>
    <row r="8" spans="1:36" x14ac:dyDescent="0.25">
      <c r="A8" s="99" t="s">
        <v>32</v>
      </c>
      <c r="D8">
        <v>17.899999999999999</v>
      </c>
      <c r="E8">
        <v>1.41</v>
      </c>
      <c r="F8">
        <v>9</v>
      </c>
      <c r="G8" s="100">
        <v>3</v>
      </c>
      <c r="H8">
        <v>0</v>
      </c>
      <c r="I8">
        <v>0</v>
      </c>
      <c r="J8">
        <v>0</v>
      </c>
      <c r="L8" s="97">
        <f t="shared" si="0"/>
        <v>0</v>
      </c>
      <c r="M8" s="99" t="s">
        <v>33</v>
      </c>
      <c r="P8">
        <v>19.8</v>
      </c>
      <c r="Q8">
        <v>1.85</v>
      </c>
      <c r="R8">
        <v>10</v>
      </c>
      <c r="S8">
        <v>1</v>
      </c>
      <c r="T8">
        <v>1</v>
      </c>
      <c r="U8">
        <v>0</v>
      </c>
      <c r="V8">
        <v>0</v>
      </c>
      <c r="X8" s="97">
        <f t="shared" si="1"/>
        <v>1</v>
      </c>
      <c r="Y8" s="99" t="s">
        <v>34</v>
      </c>
      <c r="AB8">
        <v>16.100000000000001</v>
      </c>
      <c r="AC8">
        <v>0.93</v>
      </c>
      <c r="AD8">
        <v>9</v>
      </c>
      <c r="AE8">
        <v>3</v>
      </c>
      <c r="AF8">
        <v>0</v>
      </c>
      <c r="AJ8" s="97">
        <f t="shared" si="2"/>
        <v>0</v>
      </c>
    </row>
    <row r="9" spans="1:36" x14ac:dyDescent="0.25">
      <c r="A9" s="99" t="s">
        <v>35</v>
      </c>
      <c r="D9">
        <v>17.899999999999999</v>
      </c>
      <c r="E9">
        <v>1.43</v>
      </c>
      <c r="F9">
        <v>11</v>
      </c>
      <c r="G9" s="100">
        <v>1</v>
      </c>
      <c r="H9">
        <v>0</v>
      </c>
      <c r="I9">
        <v>0</v>
      </c>
      <c r="J9">
        <v>0</v>
      </c>
      <c r="L9" s="97">
        <f t="shared" si="0"/>
        <v>0</v>
      </c>
      <c r="M9" s="99" t="s">
        <v>36</v>
      </c>
      <c r="P9">
        <v>20.5</v>
      </c>
      <c r="Q9">
        <v>2.29</v>
      </c>
      <c r="R9">
        <v>12</v>
      </c>
      <c r="S9">
        <v>0</v>
      </c>
      <c r="T9">
        <v>0</v>
      </c>
      <c r="U9">
        <v>0</v>
      </c>
      <c r="V9">
        <v>0</v>
      </c>
      <c r="X9" s="97">
        <f t="shared" si="1"/>
        <v>0</v>
      </c>
      <c r="Y9" s="99" t="s">
        <v>37</v>
      </c>
      <c r="AB9">
        <v>18.899999999999999</v>
      </c>
      <c r="AC9">
        <v>1.58</v>
      </c>
      <c r="AD9">
        <v>4</v>
      </c>
      <c r="AE9">
        <v>8</v>
      </c>
      <c r="AF9">
        <v>0</v>
      </c>
      <c r="AJ9" s="97">
        <f t="shared" si="2"/>
        <v>0</v>
      </c>
    </row>
    <row r="10" spans="1:36" x14ac:dyDescent="0.25">
      <c r="A10" s="99" t="s">
        <v>38</v>
      </c>
      <c r="D10">
        <v>16.100000000000001</v>
      </c>
      <c r="E10">
        <v>1.02</v>
      </c>
      <c r="F10">
        <v>7</v>
      </c>
      <c r="G10" s="100">
        <v>5</v>
      </c>
      <c r="H10">
        <v>0</v>
      </c>
      <c r="I10">
        <v>0</v>
      </c>
      <c r="J10">
        <v>0</v>
      </c>
      <c r="L10" s="97">
        <f t="shared" si="0"/>
        <v>0</v>
      </c>
      <c r="M10" s="99" t="s">
        <v>39</v>
      </c>
      <c r="P10">
        <v>18.3</v>
      </c>
      <c r="Q10">
        <v>1.85</v>
      </c>
      <c r="R10">
        <v>11</v>
      </c>
      <c r="S10">
        <v>1</v>
      </c>
      <c r="T10">
        <v>0</v>
      </c>
      <c r="U10">
        <v>0</v>
      </c>
      <c r="V10">
        <v>0</v>
      </c>
      <c r="X10" s="97">
        <f t="shared" si="1"/>
        <v>0</v>
      </c>
      <c r="Y10" s="99" t="s">
        <v>40</v>
      </c>
      <c r="AB10">
        <v>18.399999999999999</v>
      </c>
      <c r="AC10">
        <v>1.48</v>
      </c>
      <c r="AD10">
        <v>5</v>
      </c>
      <c r="AE10">
        <v>7</v>
      </c>
      <c r="AF10">
        <v>0</v>
      </c>
      <c r="AJ10" s="97">
        <f t="shared" si="2"/>
        <v>0</v>
      </c>
    </row>
    <row r="11" spans="1:36" x14ac:dyDescent="0.25">
      <c r="A11" s="99" t="s">
        <v>41</v>
      </c>
      <c r="D11">
        <v>17</v>
      </c>
      <c r="E11">
        <v>1.21</v>
      </c>
      <c r="F11">
        <v>9</v>
      </c>
      <c r="G11" s="100">
        <v>3</v>
      </c>
      <c r="H11">
        <v>0</v>
      </c>
      <c r="I11">
        <v>0</v>
      </c>
      <c r="J11">
        <v>0</v>
      </c>
      <c r="L11" s="97">
        <f t="shared" si="0"/>
        <v>0</v>
      </c>
      <c r="M11" s="99" t="s">
        <v>42</v>
      </c>
      <c r="P11">
        <v>18.399999999999999</v>
      </c>
      <c r="Q11">
        <v>1.54</v>
      </c>
      <c r="R11">
        <v>3</v>
      </c>
      <c r="S11">
        <v>8</v>
      </c>
      <c r="T11">
        <v>0</v>
      </c>
      <c r="U11">
        <v>0</v>
      </c>
      <c r="V11">
        <v>0</v>
      </c>
      <c r="X11" s="97">
        <f t="shared" si="1"/>
        <v>0</v>
      </c>
      <c r="Y11" s="99" t="s">
        <v>43</v>
      </c>
      <c r="AB11">
        <v>20.399999999999999</v>
      </c>
      <c r="AC11">
        <v>1.81</v>
      </c>
      <c r="AD11">
        <v>0</v>
      </c>
      <c r="AE11">
        <v>12</v>
      </c>
      <c r="AF11">
        <v>0</v>
      </c>
      <c r="AJ11" s="97">
        <f t="shared" si="2"/>
        <v>0</v>
      </c>
    </row>
    <row r="12" spans="1:36" x14ac:dyDescent="0.25">
      <c r="A12" s="99" t="s">
        <v>44</v>
      </c>
      <c r="D12">
        <v>16.899999999999999</v>
      </c>
      <c r="E12">
        <v>1.24</v>
      </c>
      <c r="F12">
        <v>9</v>
      </c>
      <c r="G12" s="100">
        <v>3</v>
      </c>
      <c r="H12">
        <v>0</v>
      </c>
      <c r="I12">
        <v>0</v>
      </c>
      <c r="J12">
        <v>0</v>
      </c>
      <c r="L12" s="97">
        <f t="shared" si="0"/>
        <v>0</v>
      </c>
      <c r="M12" s="99" t="s">
        <v>45</v>
      </c>
      <c r="P12">
        <v>15.5</v>
      </c>
      <c r="Q12">
        <v>1.95</v>
      </c>
      <c r="R12">
        <v>9</v>
      </c>
      <c r="S12">
        <v>3</v>
      </c>
      <c r="T12">
        <v>0</v>
      </c>
      <c r="U12">
        <v>0</v>
      </c>
      <c r="V12">
        <v>0</v>
      </c>
      <c r="X12" s="97">
        <f t="shared" si="1"/>
        <v>0</v>
      </c>
      <c r="Y12" s="99" t="s">
        <v>46</v>
      </c>
      <c r="AB12">
        <v>16.899999999999999</v>
      </c>
      <c r="AC12">
        <v>1.4</v>
      </c>
      <c r="AD12">
        <v>8</v>
      </c>
      <c r="AE12">
        <v>3</v>
      </c>
      <c r="AF12">
        <v>1</v>
      </c>
      <c r="AJ12" s="97">
        <f t="shared" si="2"/>
        <v>1</v>
      </c>
    </row>
    <row r="13" spans="1:36" x14ac:dyDescent="0.25">
      <c r="A13" s="99" t="s">
        <v>47</v>
      </c>
      <c r="D13">
        <v>17.600000000000001</v>
      </c>
      <c r="E13">
        <v>1.43</v>
      </c>
      <c r="F13">
        <v>6</v>
      </c>
      <c r="G13" s="100">
        <v>6</v>
      </c>
      <c r="H13">
        <v>0</v>
      </c>
      <c r="I13">
        <v>0</v>
      </c>
      <c r="J13">
        <v>0</v>
      </c>
      <c r="L13" s="97">
        <f t="shared" si="0"/>
        <v>0</v>
      </c>
      <c r="M13" s="99" t="s">
        <v>48</v>
      </c>
      <c r="P13">
        <v>17.100000000000001</v>
      </c>
      <c r="Q13">
        <v>1.57</v>
      </c>
      <c r="R13">
        <v>10</v>
      </c>
      <c r="S13">
        <v>2</v>
      </c>
      <c r="T13">
        <v>0</v>
      </c>
      <c r="U13">
        <v>0</v>
      </c>
      <c r="V13">
        <v>0</v>
      </c>
      <c r="X13" s="97">
        <f t="shared" si="1"/>
        <v>0</v>
      </c>
      <c r="Y13" s="99" t="s">
        <v>49</v>
      </c>
      <c r="AB13">
        <v>20.100000000000001</v>
      </c>
      <c r="AC13">
        <v>1.79</v>
      </c>
      <c r="AD13">
        <v>3</v>
      </c>
      <c r="AE13">
        <v>9</v>
      </c>
      <c r="AF13">
        <v>0</v>
      </c>
      <c r="AJ13" s="97">
        <f t="shared" si="2"/>
        <v>0</v>
      </c>
    </row>
    <row r="14" spans="1:36" x14ac:dyDescent="0.25">
      <c r="A14" s="99" t="s">
        <v>50</v>
      </c>
      <c r="D14">
        <v>16</v>
      </c>
      <c r="E14">
        <v>0.96</v>
      </c>
      <c r="F14">
        <v>10</v>
      </c>
      <c r="G14" s="100">
        <v>1</v>
      </c>
      <c r="H14">
        <v>1</v>
      </c>
      <c r="I14">
        <v>0</v>
      </c>
      <c r="J14">
        <v>0</v>
      </c>
      <c r="L14" s="97">
        <f t="shared" si="0"/>
        <v>1</v>
      </c>
      <c r="M14" s="99" t="s">
        <v>51</v>
      </c>
      <c r="P14">
        <v>16.7</v>
      </c>
      <c r="Q14">
        <v>1.31</v>
      </c>
      <c r="R14">
        <v>9</v>
      </c>
      <c r="S14">
        <v>3</v>
      </c>
      <c r="T14">
        <v>0</v>
      </c>
      <c r="U14">
        <v>0</v>
      </c>
      <c r="V14">
        <v>0</v>
      </c>
      <c r="X14" s="97">
        <f t="shared" si="1"/>
        <v>0</v>
      </c>
      <c r="Y14" s="99" t="s">
        <v>52</v>
      </c>
      <c r="AB14">
        <v>18.100000000000001</v>
      </c>
      <c r="AC14">
        <v>1.58</v>
      </c>
      <c r="AD14">
        <v>5</v>
      </c>
      <c r="AE14">
        <v>7</v>
      </c>
      <c r="AF14">
        <v>0</v>
      </c>
      <c r="AJ14" s="97">
        <f t="shared" si="2"/>
        <v>0</v>
      </c>
    </row>
    <row r="15" spans="1:36" x14ac:dyDescent="0.25">
      <c r="A15" t="s">
        <v>53</v>
      </c>
      <c r="D15">
        <v>17.5</v>
      </c>
      <c r="E15">
        <v>1.33</v>
      </c>
      <c r="F15">
        <v>8</v>
      </c>
      <c r="G15">
        <v>4</v>
      </c>
      <c r="L15" s="97">
        <f t="shared" si="0"/>
        <v>0</v>
      </c>
      <c r="M15" s="99" t="s">
        <v>54</v>
      </c>
      <c r="P15">
        <v>18.3</v>
      </c>
      <c r="Q15">
        <v>18.3</v>
      </c>
      <c r="R15">
        <v>9</v>
      </c>
      <c r="S15">
        <v>2</v>
      </c>
      <c r="T15">
        <v>1</v>
      </c>
      <c r="X15" s="97">
        <f t="shared" si="1"/>
        <v>1</v>
      </c>
      <c r="Y15" t="s">
        <v>55</v>
      </c>
      <c r="AB15">
        <v>17.7</v>
      </c>
      <c r="AC15">
        <v>1.38</v>
      </c>
      <c r="AD15">
        <v>3</v>
      </c>
      <c r="AE15">
        <v>8</v>
      </c>
      <c r="AH15">
        <v>1</v>
      </c>
      <c r="AJ15" s="97">
        <f t="shared" si="2"/>
        <v>1</v>
      </c>
    </row>
    <row r="16" spans="1:36" x14ac:dyDescent="0.25">
      <c r="A16" t="s">
        <v>14</v>
      </c>
      <c r="D16">
        <v>20.2</v>
      </c>
      <c r="E16">
        <v>1.78</v>
      </c>
      <c r="F16">
        <v>6</v>
      </c>
      <c r="G16">
        <v>6</v>
      </c>
      <c r="L16" s="97">
        <f t="shared" si="0"/>
        <v>0</v>
      </c>
      <c r="M16" s="99" t="s">
        <v>15</v>
      </c>
      <c r="P16">
        <v>21.3</v>
      </c>
      <c r="Q16">
        <v>21.3</v>
      </c>
      <c r="R16">
        <v>6</v>
      </c>
      <c r="S16">
        <v>6</v>
      </c>
      <c r="X16" s="97">
        <f t="shared" si="1"/>
        <v>0</v>
      </c>
      <c r="Y16" t="s">
        <v>16</v>
      </c>
      <c r="AB16">
        <v>17.899999999999999</v>
      </c>
      <c r="AC16">
        <v>1.33</v>
      </c>
      <c r="AD16">
        <v>9</v>
      </c>
      <c r="AE16">
        <v>3</v>
      </c>
      <c r="AJ16" s="97">
        <f t="shared" si="2"/>
        <v>0</v>
      </c>
    </row>
    <row r="17" spans="1:36" x14ac:dyDescent="0.25">
      <c r="A17" t="s">
        <v>17</v>
      </c>
      <c r="D17">
        <v>18.8</v>
      </c>
      <c r="E17">
        <v>1.79</v>
      </c>
      <c r="F17">
        <v>8</v>
      </c>
      <c r="G17">
        <v>4</v>
      </c>
      <c r="L17" s="97">
        <f t="shared" si="0"/>
        <v>0</v>
      </c>
      <c r="M17" s="99" t="s">
        <v>18</v>
      </c>
      <c r="P17">
        <v>17</v>
      </c>
      <c r="Q17">
        <v>17</v>
      </c>
      <c r="R17">
        <v>11</v>
      </c>
      <c r="S17">
        <v>1</v>
      </c>
      <c r="X17" s="97">
        <f t="shared" si="1"/>
        <v>0</v>
      </c>
      <c r="Y17" t="s">
        <v>19</v>
      </c>
      <c r="AB17">
        <v>18.7</v>
      </c>
      <c r="AC17">
        <v>1.52</v>
      </c>
      <c r="AD17">
        <v>2</v>
      </c>
      <c r="AE17">
        <v>10</v>
      </c>
      <c r="AJ17" s="97">
        <f t="shared" si="2"/>
        <v>0</v>
      </c>
    </row>
    <row r="18" spans="1:36" x14ac:dyDescent="0.25">
      <c r="A18" t="s">
        <v>20</v>
      </c>
      <c r="D18">
        <v>16.7</v>
      </c>
      <c r="E18">
        <v>1.22</v>
      </c>
      <c r="F18">
        <v>12</v>
      </c>
      <c r="L18" s="97">
        <f t="shared" si="0"/>
        <v>0</v>
      </c>
      <c r="M18" s="99" t="s">
        <v>21</v>
      </c>
      <c r="P18">
        <v>18</v>
      </c>
      <c r="Q18">
        <v>18</v>
      </c>
      <c r="R18">
        <v>12</v>
      </c>
      <c r="X18" s="97">
        <f t="shared" si="1"/>
        <v>0</v>
      </c>
      <c r="Y18" t="s">
        <v>22</v>
      </c>
      <c r="AB18">
        <v>18.399999999999999</v>
      </c>
      <c r="AC18">
        <v>1.53</v>
      </c>
      <c r="AD18">
        <v>3</v>
      </c>
      <c r="AE18">
        <v>9</v>
      </c>
      <c r="AJ18" s="97">
        <f t="shared" si="2"/>
        <v>0</v>
      </c>
    </row>
    <row r="19" spans="1:36" x14ac:dyDescent="0.25">
      <c r="A19" t="s">
        <v>23</v>
      </c>
      <c r="D19">
        <v>16.8</v>
      </c>
      <c r="E19">
        <v>1.1299999999999999</v>
      </c>
      <c r="F19">
        <v>11</v>
      </c>
      <c r="H19">
        <v>1</v>
      </c>
      <c r="L19" s="97">
        <f t="shared" si="0"/>
        <v>1</v>
      </c>
      <c r="M19" s="99" t="s">
        <v>24</v>
      </c>
      <c r="P19">
        <v>16</v>
      </c>
      <c r="Q19">
        <v>16</v>
      </c>
      <c r="R19">
        <v>11</v>
      </c>
      <c r="U19">
        <v>1</v>
      </c>
      <c r="X19" s="97">
        <f t="shared" si="1"/>
        <v>1</v>
      </c>
      <c r="Y19" t="s">
        <v>25</v>
      </c>
      <c r="AB19">
        <v>16.8</v>
      </c>
      <c r="AC19">
        <v>1.1200000000000001</v>
      </c>
      <c r="AD19">
        <v>6</v>
      </c>
      <c r="AE19">
        <v>6</v>
      </c>
      <c r="AJ19" s="97">
        <f t="shared" si="2"/>
        <v>0</v>
      </c>
    </row>
    <row r="20" spans="1:36" x14ac:dyDescent="0.25">
      <c r="A20" t="s">
        <v>26</v>
      </c>
      <c r="D20">
        <v>16</v>
      </c>
      <c r="E20">
        <v>0.96</v>
      </c>
      <c r="F20">
        <v>7</v>
      </c>
      <c r="G20">
        <v>4</v>
      </c>
      <c r="I20">
        <v>1</v>
      </c>
      <c r="L20" s="97">
        <f t="shared" si="0"/>
        <v>1</v>
      </c>
      <c r="M20" s="99" t="s">
        <v>27</v>
      </c>
      <c r="P20">
        <v>20.399999999999999</v>
      </c>
      <c r="Q20">
        <v>20.399999999999999</v>
      </c>
      <c r="R20">
        <v>10</v>
      </c>
      <c r="S20">
        <v>2</v>
      </c>
      <c r="X20" s="97">
        <f t="shared" si="1"/>
        <v>0</v>
      </c>
      <c r="Y20" t="s">
        <v>28</v>
      </c>
      <c r="AB20">
        <v>16.8</v>
      </c>
      <c r="AC20">
        <v>0.97</v>
      </c>
      <c r="AD20">
        <v>4</v>
      </c>
      <c r="AE20">
        <v>8</v>
      </c>
      <c r="AJ20" s="97">
        <f t="shared" si="2"/>
        <v>0</v>
      </c>
    </row>
    <row r="21" spans="1:36" x14ac:dyDescent="0.25">
      <c r="A21" t="s">
        <v>29</v>
      </c>
      <c r="D21">
        <v>17.5</v>
      </c>
      <c r="E21">
        <v>1.29</v>
      </c>
      <c r="F21">
        <v>5</v>
      </c>
      <c r="G21">
        <v>7</v>
      </c>
      <c r="L21" s="97">
        <f t="shared" si="0"/>
        <v>0</v>
      </c>
      <c r="M21" s="99" t="s">
        <v>30</v>
      </c>
      <c r="P21">
        <v>20.8</v>
      </c>
      <c r="Q21">
        <v>20.8</v>
      </c>
      <c r="R21">
        <v>7</v>
      </c>
      <c r="S21">
        <v>5</v>
      </c>
      <c r="X21" s="97">
        <f t="shared" si="1"/>
        <v>0</v>
      </c>
      <c r="Y21" t="s">
        <v>31</v>
      </c>
      <c r="AB21">
        <v>17</v>
      </c>
      <c r="AC21">
        <v>1.25</v>
      </c>
      <c r="AD21">
        <v>6</v>
      </c>
      <c r="AE21">
        <v>6</v>
      </c>
      <c r="AJ21" s="97">
        <f t="shared" si="2"/>
        <v>0</v>
      </c>
    </row>
    <row r="22" spans="1:36" x14ac:dyDescent="0.25">
      <c r="A22" t="s">
        <v>32</v>
      </c>
      <c r="D22">
        <v>16.2</v>
      </c>
      <c r="E22">
        <v>1.06</v>
      </c>
      <c r="F22">
        <v>10</v>
      </c>
      <c r="G22">
        <v>2</v>
      </c>
      <c r="L22" s="97">
        <f t="shared" si="0"/>
        <v>0</v>
      </c>
      <c r="M22" s="99" t="s">
        <v>33</v>
      </c>
      <c r="P22">
        <v>16.2</v>
      </c>
      <c r="Q22">
        <v>1.23</v>
      </c>
      <c r="R22">
        <v>10</v>
      </c>
      <c r="S22">
        <v>2</v>
      </c>
      <c r="X22" s="97">
        <f t="shared" si="1"/>
        <v>0</v>
      </c>
      <c r="Y22" s="99" t="s">
        <v>34</v>
      </c>
      <c r="AB22">
        <v>16.7</v>
      </c>
      <c r="AC22">
        <v>1.8</v>
      </c>
      <c r="AD22">
        <v>3</v>
      </c>
      <c r="AE22">
        <v>9</v>
      </c>
      <c r="AJ22" s="97">
        <f t="shared" si="2"/>
        <v>0</v>
      </c>
    </row>
    <row r="23" spans="1:36" x14ac:dyDescent="0.25">
      <c r="A23" t="s">
        <v>35</v>
      </c>
      <c r="D23">
        <v>19.899999999999999</v>
      </c>
      <c r="E23">
        <v>1.71</v>
      </c>
      <c r="F23">
        <v>11</v>
      </c>
      <c r="G23">
        <v>1</v>
      </c>
      <c r="L23" s="97">
        <f t="shared" si="0"/>
        <v>0</v>
      </c>
      <c r="M23" s="99" t="s">
        <v>36</v>
      </c>
      <c r="P23">
        <v>16.600000000000001</v>
      </c>
      <c r="Q23">
        <v>1.26</v>
      </c>
      <c r="R23">
        <v>8</v>
      </c>
      <c r="S23">
        <v>4</v>
      </c>
      <c r="X23" s="97">
        <f t="shared" si="1"/>
        <v>0</v>
      </c>
      <c r="Y23" s="99" t="s">
        <v>37</v>
      </c>
      <c r="AB23">
        <v>18.3</v>
      </c>
      <c r="AC23">
        <v>1.37</v>
      </c>
      <c r="AD23">
        <v>12</v>
      </c>
      <c r="AE23">
        <v>0</v>
      </c>
      <c r="AJ23" s="97">
        <f t="shared" si="2"/>
        <v>0</v>
      </c>
    </row>
    <row r="24" spans="1:36" x14ac:dyDescent="0.25">
      <c r="A24" t="s">
        <v>38</v>
      </c>
      <c r="D24">
        <v>16.7</v>
      </c>
      <c r="E24">
        <v>1.24</v>
      </c>
      <c r="F24">
        <v>5</v>
      </c>
      <c r="G24">
        <v>6</v>
      </c>
      <c r="H24">
        <v>1</v>
      </c>
      <c r="L24" s="97">
        <f t="shared" si="0"/>
        <v>1</v>
      </c>
      <c r="M24" s="99" t="s">
        <v>39</v>
      </c>
      <c r="P24">
        <v>16.3</v>
      </c>
      <c r="Q24">
        <v>1.0900000000000001</v>
      </c>
      <c r="R24">
        <v>10</v>
      </c>
      <c r="S24">
        <v>2</v>
      </c>
      <c r="X24" s="97">
        <f t="shared" si="1"/>
        <v>0</v>
      </c>
      <c r="Y24" s="99" t="s">
        <v>40</v>
      </c>
      <c r="AB24">
        <v>16.7</v>
      </c>
      <c r="AC24">
        <v>1.1200000000000001</v>
      </c>
      <c r="AD24">
        <v>3</v>
      </c>
      <c r="AE24">
        <v>9</v>
      </c>
      <c r="AJ24" s="97">
        <f t="shared" si="2"/>
        <v>0</v>
      </c>
    </row>
    <row r="25" spans="1:36" x14ac:dyDescent="0.25">
      <c r="A25" t="s">
        <v>41</v>
      </c>
      <c r="D25">
        <v>17.2</v>
      </c>
      <c r="E25">
        <v>1.24</v>
      </c>
      <c r="F25">
        <v>10</v>
      </c>
      <c r="G25">
        <v>1</v>
      </c>
      <c r="H25">
        <v>1</v>
      </c>
      <c r="L25" s="97">
        <f t="shared" si="0"/>
        <v>1</v>
      </c>
      <c r="M25" s="99" t="s">
        <v>42</v>
      </c>
      <c r="P25">
        <v>17.100000000000001</v>
      </c>
      <c r="Q25">
        <v>1.4</v>
      </c>
      <c r="R25">
        <v>8</v>
      </c>
      <c r="S25">
        <v>4</v>
      </c>
      <c r="X25" s="97">
        <f t="shared" si="1"/>
        <v>0</v>
      </c>
      <c r="Y25" s="99" t="s">
        <v>43</v>
      </c>
      <c r="AB25">
        <v>18.600000000000001</v>
      </c>
      <c r="AC25">
        <v>1.51</v>
      </c>
      <c r="AD25">
        <v>3</v>
      </c>
      <c r="AE25">
        <v>9</v>
      </c>
      <c r="AJ25" s="97">
        <f t="shared" si="2"/>
        <v>0</v>
      </c>
    </row>
    <row r="26" spans="1:36" x14ac:dyDescent="0.25">
      <c r="A26" t="s">
        <v>44</v>
      </c>
      <c r="D26">
        <v>17.899999999999999</v>
      </c>
      <c r="E26">
        <v>1.45</v>
      </c>
      <c r="F26">
        <v>8</v>
      </c>
      <c r="G26">
        <v>4</v>
      </c>
      <c r="L26" s="97">
        <f t="shared" si="0"/>
        <v>0</v>
      </c>
      <c r="M26" s="99" t="s">
        <v>45</v>
      </c>
      <c r="P26">
        <v>17.600000000000001</v>
      </c>
      <c r="Q26">
        <v>1.44</v>
      </c>
      <c r="R26">
        <v>9</v>
      </c>
      <c r="S26">
        <v>2</v>
      </c>
      <c r="U26">
        <v>1</v>
      </c>
      <c r="X26" s="97">
        <f t="shared" si="1"/>
        <v>1</v>
      </c>
      <c r="Y26" s="99" t="s">
        <v>46</v>
      </c>
      <c r="AB26">
        <v>17</v>
      </c>
      <c r="AC26">
        <v>1.4</v>
      </c>
      <c r="AD26">
        <v>6</v>
      </c>
      <c r="AE26">
        <v>6</v>
      </c>
      <c r="AJ26" s="97">
        <f t="shared" si="2"/>
        <v>0</v>
      </c>
    </row>
    <row r="27" spans="1:36" x14ac:dyDescent="0.25">
      <c r="A27" t="s">
        <v>47</v>
      </c>
      <c r="D27">
        <v>17.600000000000001</v>
      </c>
      <c r="E27">
        <v>1.33</v>
      </c>
      <c r="F27">
        <v>8</v>
      </c>
      <c r="G27">
        <v>4</v>
      </c>
      <c r="L27" s="97">
        <f t="shared" si="0"/>
        <v>0</v>
      </c>
      <c r="M27" s="99" t="s">
        <v>48</v>
      </c>
      <c r="P27">
        <v>20.6</v>
      </c>
      <c r="Q27">
        <v>2.21</v>
      </c>
      <c r="R27">
        <v>9</v>
      </c>
      <c r="S27">
        <v>3</v>
      </c>
      <c r="X27" s="97">
        <f t="shared" si="1"/>
        <v>0</v>
      </c>
      <c r="Y27" s="99" t="s">
        <v>49</v>
      </c>
      <c r="AB27">
        <v>18</v>
      </c>
      <c r="AC27">
        <v>1.37</v>
      </c>
      <c r="AD27">
        <v>3</v>
      </c>
      <c r="AE27">
        <v>9</v>
      </c>
      <c r="AJ27" s="97">
        <f t="shared" si="2"/>
        <v>0</v>
      </c>
    </row>
    <row r="28" spans="1:36" x14ac:dyDescent="0.25">
      <c r="A28" t="s">
        <v>50</v>
      </c>
      <c r="D28">
        <v>17.2</v>
      </c>
      <c r="E28">
        <v>1.31</v>
      </c>
      <c r="F28">
        <v>12</v>
      </c>
      <c r="G28">
        <v>0</v>
      </c>
      <c r="L28" s="97">
        <f t="shared" si="0"/>
        <v>0</v>
      </c>
      <c r="M28" s="99" t="s">
        <v>51</v>
      </c>
      <c r="P28">
        <v>16</v>
      </c>
      <c r="Q28">
        <v>1.3</v>
      </c>
      <c r="R28">
        <v>10</v>
      </c>
      <c r="S28">
        <v>2</v>
      </c>
      <c r="X28" s="97">
        <f t="shared" si="1"/>
        <v>0</v>
      </c>
      <c r="Y28" s="99" t="s">
        <v>52</v>
      </c>
      <c r="AB28">
        <v>17</v>
      </c>
      <c r="AC28">
        <v>1.2</v>
      </c>
      <c r="AD28">
        <v>5</v>
      </c>
      <c r="AE28">
        <v>7</v>
      </c>
      <c r="AJ28" s="97">
        <f t="shared" si="2"/>
        <v>0</v>
      </c>
    </row>
    <row r="29" spans="1:36" x14ac:dyDescent="0.25">
      <c r="A29" t="s">
        <v>56</v>
      </c>
      <c r="D29">
        <v>17.399999999999999</v>
      </c>
      <c r="E29">
        <v>1.28</v>
      </c>
      <c r="F29">
        <v>12</v>
      </c>
      <c r="L29" s="97">
        <f t="shared" si="0"/>
        <v>0</v>
      </c>
      <c r="M29" s="99" t="s">
        <v>57</v>
      </c>
      <c r="P29">
        <v>16.899999999999999</v>
      </c>
      <c r="Q29">
        <v>1.0900000000000001</v>
      </c>
      <c r="R29">
        <v>10</v>
      </c>
      <c r="S29">
        <v>2</v>
      </c>
      <c r="X29" s="97">
        <f t="shared" si="1"/>
        <v>0</v>
      </c>
      <c r="Y29" s="99" t="s">
        <v>58</v>
      </c>
      <c r="AB29">
        <v>19.8</v>
      </c>
      <c r="AC29">
        <v>1.58</v>
      </c>
      <c r="AD29">
        <v>12</v>
      </c>
      <c r="AE29">
        <v>0</v>
      </c>
      <c r="AJ29" s="97">
        <f t="shared" si="2"/>
        <v>0</v>
      </c>
    </row>
    <row r="30" spans="1:36" x14ac:dyDescent="0.25">
      <c r="A30" t="s">
        <v>59</v>
      </c>
      <c r="D30">
        <v>16.899999999999999</v>
      </c>
      <c r="E30">
        <v>1.1399999999999999</v>
      </c>
      <c r="F30">
        <v>11</v>
      </c>
      <c r="G30">
        <v>1</v>
      </c>
      <c r="L30" s="97">
        <f t="shared" si="0"/>
        <v>0</v>
      </c>
      <c r="M30" s="99" t="s">
        <v>60</v>
      </c>
      <c r="P30">
        <v>18.399999999999999</v>
      </c>
      <c r="Q30">
        <v>1.61</v>
      </c>
      <c r="R30">
        <v>9</v>
      </c>
      <c r="S30">
        <v>3</v>
      </c>
      <c r="X30" s="97">
        <f t="shared" si="1"/>
        <v>0</v>
      </c>
      <c r="Y30" s="99" t="s">
        <v>61</v>
      </c>
      <c r="AB30">
        <v>17</v>
      </c>
      <c r="AC30">
        <v>1.01</v>
      </c>
      <c r="AD30">
        <v>8</v>
      </c>
      <c r="AE30">
        <v>4</v>
      </c>
      <c r="AJ30" s="97">
        <f t="shared" si="2"/>
        <v>0</v>
      </c>
    </row>
    <row r="31" spans="1:36" x14ac:dyDescent="0.25">
      <c r="A31" t="s">
        <v>62</v>
      </c>
      <c r="D31">
        <v>18.2</v>
      </c>
      <c r="E31">
        <v>1.42</v>
      </c>
      <c r="F31">
        <v>11</v>
      </c>
      <c r="G31">
        <v>1</v>
      </c>
      <c r="L31" s="97">
        <f t="shared" si="0"/>
        <v>0</v>
      </c>
      <c r="M31" s="99" t="s">
        <v>63</v>
      </c>
      <c r="P31">
        <v>18.100000000000001</v>
      </c>
      <c r="Q31">
        <v>1.63</v>
      </c>
      <c r="R31">
        <v>9</v>
      </c>
      <c r="S31">
        <v>3</v>
      </c>
      <c r="X31" s="97">
        <f t="shared" si="1"/>
        <v>0</v>
      </c>
      <c r="Y31" s="99" t="s">
        <v>64</v>
      </c>
      <c r="AB31">
        <v>18.100000000000001</v>
      </c>
      <c r="AC31">
        <v>1.3</v>
      </c>
      <c r="AD31">
        <v>12</v>
      </c>
      <c r="AE31">
        <v>0</v>
      </c>
      <c r="AJ31" s="97">
        <f t="shared" si="2"/>
        <v>0</v>
      </c>
    </row>
    <row r="32" spans="1:36" x14ac:dyDescent="0.25">
      <c r="A32" t="s">
        <v>65</v>
      </c>
      <c r="D32">
        <v>18.7</v>
      </c>
      <c r="E32">
        <v>1.25</v>
      </c>
      <c r="F32">
        <v>7</v>
      </c>
      <c r="G32">
        <v>4</v>
      </c>
      <c r="I32">
        <v>1</v>
      </c>
      <c r="L32" s="97">
        <f t="shared" si="0"/>
        <v>1</v>
      </c>
      <c r="M32" s="99" t="s">
        <v>66</v>
      </c>
      <c r="P32">
        <v>19.8</v>
      </c>
      <c r="Q32">
        <v>1.82</v>
      </c>
      <c r="R32">
        <v>9</v>
      </c>
      <c r="S32">
        <v>2</v>
      </c>
      <c r="X32" s="97">
        <f t="shared" si="1"/>
        <v>0</v>
      </c>
      <c r="Y32" s="99" t="s">
        <v>67</v>
      </c>
      <c r="AB32">
        <v>17.7</v>
      </c>
      <c r="AC32">
        <v>1.48</v>
      </c>
      <c r="AD32">
        <v>7</v>
      </c>
      <c r="AE32">
        <v>5</v>
      </c>
      <c r="AJ32" s="97">
        <f t="shared" si="2"/>
        <v>0</v>
      </c>
    </row>
    <row r="33" spans="1:36" x14ac:dyDescent="0.25">
      <c r="A33" t="s">
        <v>68</v>
      </c>
      <c r="D33">
        <v>16.600000000000001</v>
      </c>
      <c r="E33">
        <v>1.23</v>
      </c>
      <c r="F33">
        <v>12</v>
      </c>
      <c r="L33" s="97">
        <f t="shared" si="0"/>
        <v>0</v>
      </c>
      <c r="M33" s="99" t="s">
        <v>69</v>
      </c>
      <c r="P33">
        <v>20.100000000000001</v>
      </c>
      <c r="Q33">
        <v>1.98</v>
      </c>
      <c r="R33">
        <v>9</v>
      </c>
      <c r="S33">
        <v>3</v>
      </c>
      <c r="X33" s="97">
        <f t="shared" si="1"/>
        <v>0</v>
      </c>
      <c r="Y33" s="99" t="s">
        <v>70</v>
      </c>
      <c r="AB33">
        <v>19.7</v>
      </c>
      <c r="AC33">
        <v>1.5</v>
      </c>
      <c r="AD33">
        <v>4</v>
      </c>
      <c r="AE33">
        <v>8</v>
      </c>
      <c r="AJ33" s="97">
        <f t="shared" si="2"/>
        <v>0</v>
      </c>
    </row>
    <row r="34" spans="1:36" x14ac:dyDescent="0.25">
      <c r="A34" t="s">
        <v>71</v>
      </c>
      <c r="D34">
        <v>18.5</v>
      </c>
      <c r="E34">
        <v>1.8</v>
      </c>
      <c r="F34">
        <v>9</v>
      </c>
      <c r="G34">
        <v>3</v>
      </c>
      <c r="L34" s="97">
        <f t="shared" ref="L34:L55" si="3">SUM(H34:K34)</f>
        <v>0</v>
      </c>
      <c r="M34" s="99" t="s">
        <v>72</v>
      </c>
      <c r="P34">
        <v>18.2</v>
      </c>
      <c r="Q34">
        <v>1.45</v>
      </c>
      <c r="R34">
        <v>11</v>
      </c>
      <c r="S34">
        <v>1</v>
      </c>
      <c r="X34" s="97">
        <f t="shared" ref="X34:X55" si="4">SUM(T34:W34)</f>
        <v>0</v>
      </c>
      <c r="Y34" s="99" t="s">
        <v>73</v>
      </c>
      <c r="AB34">
        <v>16.100000000000001</v>
      </c>
      <c r="AC34">
        <v>0.89</v>
      </c>
      <c r="AD34">
        <v>8</v>
      </c>
      <c r="AE34">
        <v>2</v>
      </c>
      <c r="AF34">
        <v>1</v>
      </c>
      <c r="AH34">
        <v>1</v>
      </c>
      <c r="AJ34" s="97">
        <f t="shared" ref="AJ34:AJ65" si="5">SUM(AF34:AI34)</f>
        <v>2</v>
      </c>
    </row>
    <row r="35" spans="1:36" x14ac:dyDescent="0.25">
      <c r="A35" s="99" t="s">
        <v>74</v>
      </c>
      <c r="D35">
        <v>20.7</v>
      </c>
      <c r="E35">
        <v>2.04</v>
      </c>
      <c r="F35">
        <v>8</v>
      </c>
      <c r="G35">
        <v>4</v>
      </c>
      <c r="H35">
        <v>0</v>
      </c>
      <c r="I35">
        <v>0</v>
      </c>
      <c r="J35">
        <v>0</v>
      </c>
      <c r="L35" s="97">
        <f t="shared" si="3"/>
        <v>0</v>
      </c>
      <c r="M35" s="99" t="s">
        <v>75</v>
      </c>
      <c r="P35">
        <v>18.3</v>
      </c>
      <c r="Q35">
        <v>1.78</v>
      </c>
      <c r="R35">
        <v>11</v>
      </c>
      <c r="S35" s="100">
        <v>1</v>
      </c>
      <c r="X35" s="97">
        <f t="shared" si="4"/>
        <v>0</v>
      </c>
      <c r="Y35" s="99" t="s">
        <v>76</v>
      </c>
      <c r="AB35">
        <v>16.7</v>
      </c>
      <c r="AC35">
        <v>1.17</v>
      </c>
      <c r="AD35">
        <v>2</v>
      </c>
      <c r="AE35">
        <v>10</v>
      </c>
      <c r="AJ35" s="97">
        <f t="shared" si="5"/>
        <v>0</v>
      </c>
    </row>
    <row r="36" spans="1:36" x14ac:dyDescent="0.25">
      <c r="A36" s="99" t="s">
        <v>77</v>
      </c>
      <c r="D36">
        <v>17.899999999999999</v>
      </c>
      <c r="E36">
        <v>1.41</v>
      </c>
      <c r="F36">
        <v>9</v>
      </c>
      <c r="G36">
        <v>3</v>
      </c>
      <c r="H36">
        <v>0</v>
      </c>
      <c r="I36">
        <v>0</v>
      </c>
      <c r="J36">
        <v>0</v>
      </c>
      <c r="L36" s="97">
        <f t="shared" si="3"/>
        <v>0</v>
      </c>
      <c r="M36" s="99" t="s">
        <v>78</v>
      </c>
      <c r="P36">
        <v>17.600000000000001</v>
      </c>
      <c r="Q36">
        <v>1.51</v>
      </c>
      <c r="R36">
        <v>9</v>
      </c>
      <c r="S36" s="100">
        <v>3</v>
      </c>
      <c r="X36" s="97">
        <f t="shared" si="4"/>
        <v>0</v>
      </c>
      <c r="Y36" s="99" t="s">
        <v>79</v>
      </c>
      <c r="AB36">
        <v>17</v>
      </c>
      <c r="AC36">
        <v>1.29</v>
      </c>
      <c r="AD36">
        <v>12</v>
      </c>
      <c r="AE36">
        <v>0</v>
      </c>
      <c r="AG36">
        <v>0</v>
      </c>
      <c r="AJ36" s="97">
        <f t="shared" si="5"/>
        <v>0</v>
      </c>
    </row>
    <row r="37" spans="1:36" x14ac:dyDescent="0.25">
      <c r="A37" s="99" t="s">
        <v>80</v>
      </c>
      <c r="D37">
        <v>17.100000000000001</v>
      </c>
      <c r="E37">
        <v>1.25</v>
      </c>
      <c r="F37">
        <v>8</v>
      </c>
      <c r="G37">
        <v>4</v>
      </c>
      <c r="H37">
        <v>0</v>
      </c>
      <c r="I37">
        <v>0</v>
      </c>
      <c r="J37">
        <v>0</v>
      </c>
      <c r="L37" s="97">
        <f t="shared" si="3"/>
        <v>0</v>
      </c>
      <c r="M37" s="99" t="s">
        <v>81</v>
      </c>
      <c r="P37">
        <v>17</v>
      </c>
      <c r="Q37">
        <v>1.32</v>
      </c>
      <c r="R37">
        <v>11</v>
      </c>
      <c r="S37" s="100">
        <v>1</v>
      </c>
      <c r="X37" s="97">
        <f t="shared" si="4"/>
        <v>0</v>
      </c>
      <c r="Y37" s="99" t="s">
        <v>82</v>
      </c>
      <c r="AB37">
        <v>20.100000000000001</v>
      </c>
      <c r="AC37">
        <v>1.75</v>
      </c>
      <c r="AD37">
        <v>1</v>
      </c>
      <c r="AE37">
        <v>10</v>
      </c>
      <c r="AF37">
        <v>1</v>
      </c>
      <c r="AG37">
        <v>0</v>
      </c>
      <c r="AJ37" s="97">
        <f t="shared" si="5"/>
        <v>1</v>
      </c>
    </row>
    <row r="38" spans="1:36" x14ac:dyDescent="0.25">
      <c r="A38" s="99" t="s">
        <v>83</v>
      </c>
      <c r="D38">
        <v>17</v>
      </c>
      <c r="E38">
        <v>1.5</v>
      </c>
      <c r="F38">
        <v>7</v>
      </c>
      <c r="G38">
        <v>4</v>
      </c>
      <c r="H38">
        <v>1</v>
      </c>
      <c r="I38">
        <v>0</v>
      </c>
      <c r="J38">
        <v>0</v>
      </c>
      <c r="L38" s="97">
        <f t="shared" si="3"/>
        <v>1</v>
      </c>
      <c r="M38" s="99" t="s">
        <v>84</v>
      </c>
      <c r="P38">
        <v>16.600000000000001</v>
      </c>
      <c r="Q38">
        <v>1.36</v>
      </c>
      <c r="R38">
        <v>9</v>
      </c>
      <c r="S38" s="100">
        <v>3</v>
      </c>
      <c r="X38" s="97">
        <f t="shared" si="4"/>
        <v>0</v>
      </c>
      <c r="Y38" s="99" t="s">
        <v>85</v>
      </c>
      <c r="AB38">
        <v>20.100000000000001</v>
      </c>
      <c r="AC38">
        <v>2.04</v>
      </c>
      <c r="AD38">
        <v>6</v>
      </c>
      <c r="AE38">
        <v>6</v>
      </c>
      <c r="AF38">
        <v>0</v>
      </c>
      <c r="AG38">
        <v>0</v>
      </c>
      <c r="AJ38" s="97">
        <f t="shared" si="5"/>
        <v>0</v>
      </c>
    </row>
    <row r="39" spans="1:36" x14ac:dyDescent="0.25">
      <c r="A39" s="99" t="s">
        <v>86</v>
      </c>
      <c r="D39">
        <v>18.5</v>
      </c>
      <c r="E39">
        <v>1.52</v>
      </c>
      <c r="F39">
        <v>9</v>
      </c>
      <c r="G39">
        <v>3</v>
      </c>
      <c r="H39">
        <v>0</v>
      </c>
      <c r="I39">
        <v>0</v>
      </c>
      <c r="J39">
        <v>0</v>
      </c>
      <c r="L39" s="97">
        <f t="shared" si="3"/>
        <v>0</v>
      </c>
      <c r="M39" s="99" t="s">
        <v>87</v>
      </c>
      <c r="P39">
        <v>15.1</v>
      </c>
      <c r="Q39">
        <v>1.17</v>
      </c>
      <c r="R39">
        <v>11</v>
      </c>
      <c r="S39" s="100">
        <v>1</v>
      </c>
      <c r="X39" s="97">
        <f t="shared" si="4"/>
        <v>0</v>
      </c>
      <c r="Y39" s="99" t="s">
        <v>88</v>
      </c>
      <c r="AB39">
        <v>17.899999999999999</v>
      </c>
      <c r="AC39">
        <v>1.49</v>
      </c>
      <c r="AD39">
        <v>6</v>
      </c>
      <c r="AE39">
        <v>6</v>
      </c>
      <c r="AG39">
        <v>0</v>
      </c>
      <c r="AJ39" s="97">
        <f t="shared" si="5"/>
        <v>0</v>
      </c>
    </row>
    <row r="40" spans="1:36" x14ac:dyDescent="0.25">
      <c r="A40" s="99" t="s">
        <v>89</v>
      </c>
      <c r="D40">
        <v>18.899999999999999</v>
      </c>
      <c r="E40">
        <v>1.66</v>
      </c>
      <c r="F40">
        <v>9</v>
      </c>
      <c r="G40">
        <v>3</v>
      </c>
      <c r="H40">
        <v>0</v>
      </c>
      <c r="I40">
        <v>0</v>
      </c>
      <c r="J40">
        <v>0</v>
      </c>
      <c r="L40" s="97">
        <f t="shared" si="3"/>
        <v>0</v>
      </c>
      <c r="M40" s="99" t="s">
        <v>90</v>
      </c>
      <c r="P40">
        <v>17.8</v>
      </c>
      <c r="Q40">
        <v>1.55</v>
      </c>
      <c r="R40">
        <v>10</v>
      </c>
      <c r="S40">
        <v>2</v>
      </c>
      <c r="X40" s="97">
        <f t="shared" si="4"/>
        <v>0</v>
      </c>
      <c r="Y40" s="99" t="s">
        <v>91</v>
      </c>
      <c r="AB40">
        <v>17.600000000000001</v>
      </c>
      <c r="AC40">
        <v>1.43</v>
      </c>
      <c r="AD40">
        <v>8</v>
      </c>
      <c r="AE40">
        <v>3</v>
      </c>
      <c r="AF40">
        <v>1</v>
      </c>
      <c r="AJ40" s="97">
        <f t="shared" si="5"/>
        <v>1</v>
      </c>
    </row>
    <row r="41" spans="1:36" x14ac:dyDescent="0.25">
      <c r="A41" s="99" t="s">
        <v>92</v>
      </c>
      <c r="D41">
        <v>20.7</v>
      </c>
      <c r="E41">
        <v>1.97</v>
      </c>
      <c r="F41">
        <v>9</v>
      </c>
      <c r="G41">
        <v>3</v>
      </c>
      <c r="H41">
        <v>0</v>
      </c>
      <c r="I41">
        <v>0</v>
      </c>
      <c r="J41">
        <v>0</v>
      </c>
      <c r="L41" s="97">
        <f t="shared" si="3"/>
        <v>0</v>
      </c>
      <c r="M41" s="99" t="s">
        <v>93</v>
      </c>
      <c r="P41">
        <v>17.899999999999999</v>
      </c>
      <c r="Q41">
        <v>1.56</v>
      </c>
      <c r="R41">
        <v>10</v>
      </c>
      <c r="S41">
        <v>2</v>
      </c>
      <c r="X41" s="97">
        <f t="shared" si="4"/>
        <v>0</v>
      </c>
      <c r="Y41" s="101" t="s">
        <v>94</v>
      </c>
      <c r="AB41">
        <v>18.7</v>
      </c>
      <c r="AC41">
        <v>1.74</v>
      </c>
      <c r="AD41">
        <v>6</v>
      </c>
      <c r="AE41">
        <v>6</v>
      </c>
      <c r="AJ41" s="97">
        <f t="shared" si="5"/>
        <v>0</v>
      </c>
    </row>
    <row r="42" spans="1:36" x14ac:dyDescent="0.25">
      <c r="A42" s="99" t="s">
        <v>95</v>
      </c>
      <c r="D42">
        <v>17.899999999999999</v>
      </c>
      <c r="E42">
        <v>17.899999999999999</v>
      </c>
      <c r="F42">
        <v>9</v>
      </c>
      <c r="G42">
        <v>3</v>
      </c>
      <c r="L42" s="97">
        <f t="shared" si="3"/>
        <v>0</v>
      </c>
      <c r="M42" s="99" t="s">
        <v>96</v>
      </c>
      <c r="P42">
        <v>20.3</v>
      </c>
      <c r="Q42">
        <v>2.0499999999999998</v>
      </c>
      <c r="R42">
        <v>12</v>
      </c>
      <c r="S42">
        <v>0</v>
      </c>
      <c r="X42" s="97">
        <f t="shared" si="4"/>
        <v>0</v>
      </c>
      <c r="Y42" s="99" t="s">
        <v>97</v>
      </c>
      <c r="AB42">
        <v>16</v>
      </c>
      <c r="AC42">
        <v>1.04</v>
      </c>
      <c r="AD42">
        <v>8</v>
      </c>
      <c r="AE42">
        <v>4</v>
      </c>
      <c r="AJ42" s="97">
        <f t="shared" si="5"/>
        <v>0</v>
      </c>
    </row>
    <row r="43" spans="1:36" x14ac:dyDescent="0.25">
      <c r="A43" s="99" t="s">
        <v>56</v>
      </c>
      <c r="D43">
        <v>16.100000000000001</v>
      </c>
      <c r="E43">
        <v>16.100000000000001</v>
      </c>
      <c r="F43">
        <v>8</v>
      </c>
      <c r="G43">
        <v>4</v>
      </c>
      <c r="L43" s="97">
        <f t="shared" si="3"/>
        <v>0</v>
      </c>
      <c r="M43" s="99" t="s">
        <v>57</v>
      </c>
      <c r="P43">
        <v>17</v>
      </c>
      <c r="Q43">
        <v>1.23</v>
      </c>
      <c r="R43">
        <v>12</v>
      </c>
      <c r="S43">
        <v>0</v>
      </c>
      <c r="X43" s="97">
        <f t="shared" si="4"/>
        <v>0</v>
      </c>
      <c r="Y43" s="99" t="s">
        <v>58</v>
      </c>
      <c r="AB43">
        <v>18</v>
      </c>
      <c r="AC43">
        <v>1.32</v>
      </c>
      <c r="AD43">
        <v>6</v>
      </c>
      <c r="AE43">
        <v>6</v>
      </c>
      <c r="AJ43" s="97">
        <f t="shared" si="5"/>
        <v>0</v>
      </c>
    </row>
    <row r="44" spans="1:36" x14ac:dyDescent="0.25">
      <c r="A44" s="99" t="s">
        <v>59</v>
      </c>
      <c r="D44">
        <v>18</v>
      </c>
      <c r="E44">
        <v>18</v>
      </c>
      <c r="F44">
        <v>7</v>
      </c>
      <c r="G44">
        <v>5</v>
      </c>
      <c r="L44" s="97">
        <f t="shared" si="3"/>
        <v>0</v>
      </c>
      <c r="M44" s="99" t="s">
        <v>60</v>
      </c>
      <c r="P44">
        <v>16</v>
      </c>
      <c r="Q44">
        <v>1.1100000000000001</v>
      </c>
      <c r="R44">
        <v>9</v>
      </c>
      <c r="S44">
        <v>3</v>
      </c>
      <c r="X44" s="97">
        <f t="shared" si="4"/>
        <v>0</v>
      </c>
      <c r="Y44" s="99" t="s">
        <v>61</v>
      </c>
      <c r="AB44">
        <v>20.6</v>
      </c>
      <c r="AC44">
        <v>1.29</v>
      </c>
      <c r="AD44">
        <v>12</v>
      </c>
      <c r="AE44">
        <v>0</v>
      </c>
      <c r="AJ44" s="97">
        <f t="shared" si="5"/>
        <v>0</v>
      </c>
    </row>
    <row r="45" spans="1:36" x14ac:dyDescent="0.25">
      <c r="A45" s="99" t="s">
        <v>62</v>
      </c>
      <c r="D45">
        <v>16.600000000000001</v>
      </c>
      <c r="E45">
        <v>16.600000000000001</v>
      </c>
      <c r="F45">
        <v>6</v>
      </c>
      <c r="G45">
        <v>6</v>
      </c>
      <c r="L45" s="97">
        <f t="shared" si="3"/>
        <v>0</v>
      </c>
      <c r="M45" s="99" t="s">
        <v>63</v>
      </c>
      <c r="P45">
        <v>20.2</v>
      </c>
      <c r="Q45">
        <v>1.83</v>
      </c>
      <c r="R45">
        <v>6</v>
      </c>
      <c r="S45">
        <v>6</v>
      </c>
      <c r="X45" s="97">
        <f t="shared" si="4"/>
        <v>0</v>
      </c>
      <c r="Y45" s="99" t="s">
        <v>64</v>
      </c>
      <c r="AB45">
        <v>18.5</v>
      </c>
      <c r="AC45">
        <v>1.49</v>
      </c>
      <c r="AD45">
        <v>12</v>
      </c>
      <c r="AE45">
        <v>0</v>
      </c>
      <c r="AJ45" s="97">
        <f t="shared" si="5"/>
        <v>0</v>
      </c>
    </row>
    <row r="46" spans="1:36" x14ac:dyDescent="0.25">
      <c r="A46" s="99" t="s">
        <v>65</v>
      </c>
      <c r="D46">
        <v>17.5</v>
      </c>
      <c r="E46">
        <v>17.5</v>
      </c>
      <c r="F46">
        <v>9</v>
      </c>
      <c r="G46">
        <v>3</v>
      </c>
      <c r="L46" s="97">
        <f t="shared" si="3"/>
        <v>0</v>
      </c>
      <c r="M46" s="99" t="s">
        <v>66</v>
      </c>
      <c r="P46">
        <v>17.7</v>
      </c>
      <c r="Q46">
        <v>1.38</v>
      </c>
      <c r="R46">
        <v>9</v>
      </c>
      <c r="S46">
        <v>3</v>
      </c>
      <c r="X46" s="97">
        <f t="shared" si="4"/>
        <v>0</v>
      </c>
      <c r="Y46" s="99" t="s">
        <v>67</v>
      </c>
      <c r="AB46">
        <v>17.3</v>
      </c>
      <c r="AC46">
        <v>1.1399999999999999</v>
      </c>
      <c r="AD46">
        <v>8</v>
      </c>
      <c r="AE46">
        <v>4</v>
      </c>
      <c r="AJ46" s="97">
        <f t="shared" si="5"/>
        <v>0</v>
      </c>
    </row>
    <row r="47" spans="1:36" x14ac:dyDescent="0.25">
      <c r="A47" s="99" t="s">
        <v>68</v>
      </c>
      <c r="D47">
        <v>20.5</v>
      </c>
      <c r="E47">
        <v>20.5</v>
      </c>
      <c r="F47">
        <v>10</v>
      </c>
      <c r="G47">
        <v>2</v>
      </c>
      <c r="L47" s="97">
        <f t="shared" si="3"/>
        <v>0</v>
      </c>
      <c r="M47" s="99" t="s">
        <v>69</v>
      </c>
      <c r="P47">
        <v>20.399999999999999</v>
      </c>
      <c r="Q47">
        <v>2.37</v>
      </c>
      <c r="R47">
        <v>6</v>
      </c>
      <c r="S47">
        <v>6</v>
      </c>
      <c r="X47" s="97">
        <f t="shared" si="4"/>
        <v>0</v>
      </c>
      <c r="Y47" s="99" t="s">
        <v>70</v>
      </c>
      <c r="AB47">
        <v>17.7</v>
      </c>
      <c r="AC47">
        <v>1.31</v>
      </c>
      <c r="AD47">
        <v>11</v>
      </c>
      <c r="AF47">
        <v>1</v>
      </c>
      <c r="AJ47" s="97">
        <f t="shared" si="5"/>
        <v>1</v>
      </c>
    </row>
    <row r="48" spans="1:36" x14ac:dyDescent="0.25">
      <c r="A48" s="99" t="s">
        <v>71</v>
      </c>
      <c r="D48">
        <v>16.5</v>
      </c>
      <c r="E48">
        <v>16.5</v>
      </c>
      <c r="F48">
        <v>7</v>
      </c>
      <c r="G48">
        <v>5</v>
      </c>
      <c r="L48" s="97">
        <f t="shared" si="3"/>
        <v>0</v>
      </c>
      <c r="M48" s="99" t="s">
        <v>72</v>
      </c>
      <c r="P48">
        <v>17.3</v>
      </c>
      <c r="Q48">
        <v>1.37</v>
      </c>
      <c r="R48">
        <v>10</v>
      </c>
      <c r="S48">
        <v>2</v>
      </c>
      <c r="X48" s="97">
        <f t="shared" si="4"/>
        <v>0</v>
      </c>
      <c r="Y48" s="99" t="s">
        <v>73</v>
      </c>
      <c r="AB48">
        <v>17.100000000000001</v>
      </c>
      <c r="AC48">
        <v>1.19</v>
      </c>
      <c r="AD48">
        <v>8</v>
      </c>
      <c r="AE48">
        <v>4</v>
      </c>
      <c r="AJ48" s="97">
        <f t="shared" si="5"/>
        <v>0</v>
      </c>
    </row>
    <row r="49" spans="1:36" x14ac:dyDescent="0.25">
      <c r="A49" s="99" t="s">
        <v>74</v>
      </c>
      <c r="D49">
        <v>16.600000000000001</v>
      </c>
      <c r="E49">
        <v>1.1000000000000001</v>
      </c>
      <c r="F49">
        <v>8</v>
      </c>
      <c r="G49">
        <v>4</v>
      </c>
      <c r="L49" s="97">
        <f t="shared" si="3"/>
        <v>0</v>
      </c>
      <c r="M49" s="99" t="s">
        <v>75</v>
      </c>
      <c r="P49">
        <v>18.399999999999999</v>
      </c>
      <c r="Q49">
        <v>1.74</v>
      </c>
      <c r="R49">
        <v>9</v>
      </c>
      <c r="S49">
        <v>2</v>
      </c>
      <c r="X49" s="97">
        <f t="shared" si="4"/>
        <v>0</v>
      </c>
      <c r="Y49" s="99" t="s">
        <v>76</v>
      </c>
      <c r="AB49">
        <v>17.8</v>
      </c>
      <c r="AC49">
        <v>1.3</v>
      </c>
      <c r="AD49">
        <v>10</v>
      </c>
      <c r="AE49">
        <v>2</v>
      </c>
      <c r="AJ49" s="97">
        <f t="shared" si="5"/>
        <v>0</v>
      </c>
    </row>
    <row r="50" spans="1:36" x14ac:dyDescent="0.25">
      <c r="A50" s="99" t="s">
        <v>77</v>
      </c>
      <c r="D50">
        <v>16</v>
      </c>
      <c r="E50">
        <v>1.03</v>
      </c>
      <c r="F50">
        <v>10</v>
      </c>
      <c r="G50">
        <v>2</v>
      </c>
      <c r="L50" s="97">
        <f t="shared" si="3"/>
        <v>0</v>
      </c>
      <c r="M50" s="99" t="s">
        <v>78</v>
      </c>
      <c r="P50">
        <v>16.2</v>
      </c>
      <c r="Q50">
        <v>1.1200000000000001</v>
      </c>
      <c r="R50">
        <v>9</v>
      </c>
      <c r="S50">
        <v>3</v>
      </c>
      <c r="X50" s="97">
        <f t="shared" si="4"/>
        <v>0</v>
      </c>
      <c r="Y50" s="99" t="s">
        <v>79</v>
      </c>
      <c r="AB50">
        <v>16.8</v>
      </c>
      <c r="AC50">
        <v>1.21</v>
      </c>
      <c r="AD50">
        <v>10</v>
      </c>
      <c r="AE50">
        <v>2</v>
      </c>
      <c r="AJ50" s="97">
        <f t="shared" si="5"/>
        <v>0</v>
      </c>
    </row>
    <row r="51" spans="1:36" x14ac:dyDescent="0.25">
      <c r="A51" s="99" t="s">
        <v>80</v>
      </c>
      <c r="D51">
        <v>18.5</v>
      </c>
      <c r="E51">
        <v>1.5</v>
      </c>
      <c r="F51">
        <v>6</v>
      </c>
      <c r="G51">
        <v>5</v>
      </c>
      <c r="H51">
        <v>1</v>
      </c>
      <c r="L51" s="97">
        <f t="shared" si="3"/>
        <v>1</v>
      </c>
      <c r="M51" s="99" t="s">
        <v>81</v>
      </c>
      <c r="P51">
        <v>20.399999999999999</v>
      </c>
      <c r="Q51">
        <v>1.93</v>
      </c>
      <c r="R51">
        <v>10</v>
      </c>
      <c r="S51">
        <v>2</v>
      </c>
      <c r="X51" s="97">
        <f t="shared" si="4"/>
        <v>0</v>
      </c>
      <c r="Y51" s="99" t="s">
        <v>82</v>
      </c>
      <c r="AB51">
        <v>17.7</v>
      </c>
      <c r="AC51">
        <v>1.37</v>
      </c>
      <c r="AD51">
        <v>7</v>
      </c>
      <c r="AE51">
        <v>5</v>
      </c>
      <c r="AJ51" s="97">
        <f t="shared" si="5"/>
        <v>0</v>
      </c>
    </row>
    <row r="52" spans="1:36" x14ac:dyDescent="0.25">
      <c r="A52" s="99" t="s">
        <v>83</v>
      </c>
      <c r="D52">
        <v>18.3</v>
      </c>
      <c r="E52">
        <v>1.53</v>
      </c>
      <c r="F52">
        <v>9</v>
      </c>
      <c r="G52">
        <v>2</v>
      </c>
      <c r="H52">
        <v>1</v>
      </c>
      <c r="L52" s="97">
        <f t="shared" si="3"/>
        <v>1</v>
      </c>
      <c r="M52" s="99" t="s">
        <v>84</v>
      </c>
      <c r="P52">
        <v>17.8</v>
      </c>
      <c r="Q52">
        <v>1.63</v>
      </c>
      <c r="R52">
        <v>10</v>
      </c>
      <c r="S52">
        <v>2</v>
      </c>
      <c r="X52" s="97">
        <f t="shared" si="4"/>
        <v>0</v>
      </c>
      <c r="Y52" s="99" t="s">
        <v>85</v>
      </c>
      <c r="AB52">
        <v>16.899999999999999</v>
      </c>
      <c r="AC52">
        <v>1.2</v>
      </c>
      <c r="AD52">
        <v>11</v>
      </c>
      <c r="AE52">
        <v>1</v>
      </c>
      <c r="AJ52" s="97">
        <f t="shared" si="5"/>
        <v>0</v>
      </c>
    </row>
    <row r="53" spans="1:36" x14ac:dyDescent="0.25">
      <c r="A53" s="99" t="s">
        <v>86</v>
      </c>
      <c r="D53">
        <v>20.8</v>
      </c>
      <c r="E53">
        <v>2.0099999999999998</v>
      </c>
      <c r="F53">
        <v>8</v>
      </c>
      <c r="G53">
        <v>4</v>
      </c>
      <c r="L53" s="97">
        <f t="shared" si="3"/>
        <v>0</v>
      </c>
      <c r="M53" s="99" t="s">
        <v>87</v>
      </c>
      <c r="P53">
        <v>18.3</v>
      </c>
      <c r="Q53">
        <v>1.6</v>
      </c>
      <c r="R53">
        <v>6</v>
      </c>
      <c r="S53">
        <v>6</v>
      </c>
      <c r="X53" s="97">
        <f t="shared" si="4"/>
        <v>0</v>
      </c>
      <c r="Y53" s="99" t="s">
        <v>88</v>
      </c>
      <c r="AB53">
        <v>17.7</v>
      </c>
      <c r="AC53">
        <v>1.36</v>
      </c>
      <c r="AD53">
        <v>9</v>
      </c>
      <c r="AE53">
        <v>3</v>
      </c>
      <c r="AJ53" s="97">
        <f t="shared" si="5"/>
        <v>0</v>
      </c>
    </row>
    <row r="54" spans="1:36" x14ac:dyDescent="0.25">
      <c r="A54" s="99" t="s">
        <v>89</v>
      </c>
      <c r="D54">
        <v>20</v>
      </c>
      <c r="E54">
        <v>1.77</v>
      </c>
      <c r="F54">
        <v>7</v>
      </c>
      <c r="G54">
        <v>5</v>
      </c>
      <c r="L54" s="97">
        <f t="shared" si="3"/>
        <v>0</v>
      </c>
      <c r="M54" s="99" t="s">
        <v>90</v>
      </c>
      <c r="P54">
        <v>20.100000000000001</v>
      </c>
      <c r="Q54">
        <v>1.83</v>
      </c>
      <c r="R54">
        <v>9</v>
      </c>
      <c r="S54">
        <v>3</v>
      </c>
      <c r="X54" s="97">
        <f t="shared" si="4"/>
        <v>0</v>
      </c>
      <c r="Y54" s="99" t="s">
        <v>91</v>
      </c>
      <c r="AB54">
        <v>16.2</v>
      </c>
      <c r="AC54">
        <v>0.93</v>
      </c>
      <c r="AD54">
        <v>2</v>
      </c>
      <c r="AE54">
        <v>9</v>
      </c>
      <c r="AJ54" s="97">
        <f t="shared" si="5"/>
        <v>0</v>
      </c>
    </row>
    <row r="55" spans="1:36" x14ac:dyDescent="0.25">
      <c r="A55" s="99" t="s">
        <v>92</v>
      </c>
      <c r="D55">
        <v>18.3</v>
      </c>
      <c r="E55">
        <v>1.56</v>
      </c>
      <c r="F55">
        <v>10</v>
      </c>
      <c r="G55">
        <v>2</v>
      </c>
      <c r="L55" s="97">
        <f t="shared" si="3"/>
        <v>0</v>
      </c>
      <c r="M55" s="99" t="s">
        <v>93</v>
      </c>
      <c r="P55">
        <v>18.3</v>
      </c>
      <c r="Q55">
        <v>1.83</v>
      </c>
      <c r="R55">
        <v>9</v>
      </c>
      <c r="S55">
        <v>3</v>
      </c>
      <c r="X55" s="97">
        <f t="shared" si="4"/>
        <v>0</v>
      </c>
      <c r="Y55" s="99" t="s">
        <v>94</v>
      </c>
      <c r="AB55">
        <v>17.5</v>
      </c>
      <c r="AC55">
        <v>1.8</v>
      </c>
      <c r="AD55">
        <v>6</v>
      </c>
      <c r="AE55">
        <v>6</v>
      </c>
      <c r="AJ55" s="97">
        <f t="shared" si="5"/>
        <v>0</v>
      </c>
    </row>
    <row r="56" spans="1:36" s="98" customFormat="1" x14ac:dyDescent="0.25">
      <c r="L56" s="98">
        <f>SUM(G56:K56)</f>
        <v>0</v>
      </c>
    </row>
  </sheetData>
  <pageMargins left="0.7" right="0.7" top="0.78749999999999998" bottom="0.78749999999999998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243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Experiment 1</vt:lpstr>
      <vt:lpstr>Experiment 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Antonín Kouba</dc:creator>
  <dc:description/>
  <cp:lastModifiedBy>Ismael soto</cp:lastModifiedBy>
  <cp:revision>4</cp:revision>
  <cp:lastPrinted>2022-06-09T09:47:39Z</cp:lastPrinted>
  <dcterms:created xsi:type="dcterms:W3CDTF">2015-06-05T18:19:34Z</dcterms:created>
  <dcterms:modified xsi:type="dcterms:W3CDTF">2026-06-03T17:07:42Z</dcterms:modified>
  <dc:language>en-US</dc:language>
</cp:coreProperties>
</file>